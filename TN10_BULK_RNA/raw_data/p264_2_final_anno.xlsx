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haussabel\Projects\Project 264 - Peter-Alice - TN10 SMARTseq from tempus on T1D\P264-2 Repeat from globin reduction of 16 tRNA 11Jan2019\"/>
    </mc:Choice>
  </mc:AlternateContent>
  <bookViews>
    <workbookView xWindow="0" yWindow="0" windowWidth="25200" windowHeight="116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7" i="1" l="1"/>
  <c r="P17" i="1"/>
  <c r="AI16" i="1"/>
  <c r="P16" i="1"/>
  <c r="AI15" i="1"/>
  <c r="P15" i="1"/>
  <c r="AI14" i="1"/>
  <c r="P14" i="1"/>
  <c r="AI13" i="1"/>
  <c r="P13" i="1"/>
  <c r="AI12" i="1"/>
  <c r="P12" i="1"/>
  <c r="AI11" i="1"/>
  <c r="P11" i="1"/>
  <c r="AI10" i="1"/>
  <c r="P10" i="1"/>
  <c r="AI9" i="1"/>
  <c r="P9" i="1"/>
  <c r="AI8" i="1"/>
  <c r="P8" i="1"/>
  <c r="AI7" i="1"/>
  <c r="P7" i="1"/>
  <c r="AI6" i="1"/>
  <c r="P6" i="1"/>
  <c r="AI5" i="1"/>
  <c r="P5" i="1"/>
  <c r="AI4" i="1"/>
  <c r="P4" i="1"/>
  <c r="AI3" i="1"/>
  <c r="P3" i="1"/>
  <c r="AI2" i="1"/>
  <c r="P2" i="1"/>
</calcChain>
</file>

<file path=xl/sharedStrings.xml><?xml version="1.0" encoding="utf-8"?>
<sst xmlns="http://schemas.openxmlformats.org/spreadsheetml/2006/main" count="572" uniqueCount="271">
  <si>
    <t>Proj-Sub</t>
  </si>
  <si>
    <t xml:space="preserve">sample name </t>
  </si>
  <si>
    <t>content type</t>
  </si>
  <si>
    <t>Species</t>
  </si>
  <si>
    <t>date received</t>
  </si>
  <si>
    <t>researchers</t>
  </si>
  <si>
    <t>Sample Id</t>
  </si>
  <si>
    <t>sample sampleName</t>
  </si>
  <si>
    <t>tRNA sampleId</t>
  </si>
  <si>
    <t>tRNA protocol</t>
  </si>
  <si>
    <t>tRNA ng/ul</t>
  </si>
  <si>
    <t>tRNA Yield (ng)</t>
  </si>
  <si>
    <t>grRNA sampleId</t>
  </si>
  <si>
    <t>grRNA protocolId</t>
  </si>
  <si>
    <t>grRNA ng/ul</t>
  </si>
  <si>
    <t>grRNA Yield (ng)</t>
  </si>
  <si>
    <t>cDNA sampleId</t>
  </si>
  <si>
    <t>cDNA protocolId</t>
  </si>
  <si>
    <t>Location</t>
  </si>
  <si>
    <t>cDNA ng/ul</t>
  </si>
  <si>
    <t>cDNA 0.3ng/ul</t>
  </si>
  <si>
    <t>library sampleId</t>
  </si>
  <si>
    <t>Protocol</t>
  </si>
  <si>
    <t>Sample_Well</t>
  </si>
  <si>
    <t>Index 7</t>
  </si>
  <si>
    <t>Index 5</t>
  </si>
  <si>
    <t>New grRNA</t>
  </si>
  <si>
    <t>[New grRNA] ng/ul</t>
  </si>
  <si>
    <t>stock ul</t>
  </si>
  <si>
    <t>H2O+Rnase inh ul</t>
  </si>
  <si>
    <t>Qubit cDNA ng/ul</t>
  </si>
  <si>
    <t>0.3ng/ul check</t>
  </si>
  <si>
    <t>libr protocol</t>
  </si>
  <si>
    <t>P264-2</t>
  </si>
  <si>
    <t>33_TNY1389</t>
  </si>
  <si>
    <t>Whole Blood</t>
  </si>
  <si>
    <t>Human</t>
  </si>
  <si>
    <t>Peter Linsley</t>
  </si>
  <si>
    <t>S56768</t>
  </si>
  <si>
    <t>tRNA30216</t>
  </si>
  <si>
    <t xml:space="preserve">MagMax </t>
  </si>
  <si>
    <t>grRNA6937</t>
  </si>
  <si>
    <t>GlobinClear_Human</t>
  </si>
  <si>
    <t>cDNA36648</t>
  </si>
  <si>
    <t>SMART-SeqV4_Bulk_Half_Vol</t>
  </si>
  <si>
    <t>Plate_1_A5</t>
  </si>
  <si>
    <t>Plate_1</t>
  </si>
  <si>
    <t>A</t>
  </si>
  <si>
    <t>lib30429</t>
  </si>
  <si>
    <t>1/2 Volume NexteraXT Set B</t>
  </si>
  <si>
    <t>A05</t>
  </si>
  <si>
    <t>N721</t>
  </si>
  <si>
    <t>TACGCTGC</t>
  </si>
  <si>
    <t>S502</t>
  </si>
  <si>
    <t>CTCTCTAT</t>
  </si>
  <si>
    <t>grRNA7619</t>
  </si>
  <si>
    <t>cDNA41196</t>
  </si>
  <si>
    <t>lib35087</t>
  </si>
  <si>
    <t xml:space="preserve">Nextera XT Half Volume index set B </t>
  </si>
  <si>
    <t>A01</t>
  </si>
  <si>
    <t>N716</t>
  </si>
  <si>
    <t>ACTCGCTA</t>
  </si>
  <si>
    <t>34_TNY75H7</t>
  </si>
  <si>
    <t>S56769</t>
  </si>
  <si>
    <t>tRNA30217</t>
  </si>
  <si>
    <t>grRNA6938</t>
  </si>
  <si>
    <t>cDNA36649</t>
  </si>
  <si>
    <t>Plate_1_B5</t>
  </si>
  <si>
    <t>B</t>
  </si>
  <si>
    <t>lib30430</t>
  </si>
  <si>
    <t>B05</t>
  </si>
  <si>
    <t>S503</t>
  </si>
  <si>
    <t>TATCCTCT</t>
  </si>
  <si>
    <t>grRNA7620</t>
  </si>
  <si>
    <t>cDNA41197</t>
  </si>
  <si>
    <t>lib35088</t>
  </si>
  <si>
    <t>B01</t>
  </si>
  <si>
    <t>35_TNYGV8M</t>
  </si>
  <si>
    <t>S56770</t>
  </si>
  <si>
    <t>tRNA30218</t>
  </si>
  <si>
    <t>grRNA6939</t>
  </si>
  <si>
    <t>cDNA36650</t>
  </si>
  <si>
    <t>Plate_1_C5</t>
  </si>
  <si>
    <t>C</t>
  </si>
  <si>
    <t>lib30431</t>
  </si>
  <si>
    <t>C05</t>
  </si>
  <si>
    <t>S505</t>
  </si>
  <si>
    <t>GTAAGGAG</t>
  </si>
  <si>
    <t>grRNA7621</t>
  </si>
  <si>
    <t>cDNA41198</t>
  </si>
  <si>
    <t>lib35089</t>
  </si>
  <si>
    <t>C01</t>
  </si>
  <si>
    <t>36_124436711</t>
  </si>
  <si>
    <t>total RNA</t>
  </si>
  <si>
    <t>S56771</t>
  </si>
  <si>
    <t>tRNA30219</t>
  </si>
  <si>
    <t>received as total RNA</t>
  </si>
  <si>
    <t>grRNA6940</t>
  </si>
  <si>
    <t>cDNA36651</t>
  </si>
  <si>
    <t>Plate_1_D5</t>
  </si>
  <si>
    <t>D</t>
  </si>
  <si>
    <t>lib30432</t>
  </si>
  <si>
    <t>D05</t>
  </si>
  <si>
    <t>S506</t>
  </si>
  <si>
    <t>ACTGCATA</t>
  </si>
  <si>
    <t>grRNA7622</t>
  </si>
  <si>
    <t>cDNA41199</t>
  </si>
  <si>
    <t>lib35090</t>
  </si>
  <si>
    <t>D01</t>
  </si>
  <si>
    <t>37_124436675</t>
  </si>
  <si>
    <t>S56772</t>
  </si>
  <si>
    <t>tRNA30220</t>
  </si>
  <si>
    <t>grRNA6941</t>
  </si>
  <si>
    <t>cDNA36652</t>
  </si>
  <si>
    <t>Plate_1_E5</t>
  </si>
  <si>
    <t>E</t>
  </si>
  <si>
    <t>lib30433</t>
  </si>
  <si>
    <t>E05</t>
  </si>
  <si>
    <t>S507</t>
  </si>
  <si>
    <t>AAGGAGTA</t>
  </si>
  <si>
    <t>grRNA7623</t>
  </si>
  <si>
    <t>cDNA41200</t>
  </si>
  <si>
    <t>lib35091</t>
  </si>
  <si>
    <t>E01</t>
  </si>
  <si>
    <t>38_116941554</t>
  </si>
  <si>
    <t>S56773</t>
  </si>
  <si>
    <t>tRNA30221</t>
  </si>
  <si>
    <t>grRNA6942</t>
  </si>
  <si>
    <t>cDNA36653</t>
  </si>
  <si>
    <t>Plate_1_F5</t>
  </si>
  <si>
    <t>F</t>
  </si>
  <si>
    <t>lib30434</t>
  </si>
  <si>
    <t>F05</t>
  </si>
  <si>
    <t>S508</t>
  </si>
  <si>
    <t>CTAAGCCT</t>
  </si>
  <si>
    <t>grRNA7624</t>
  </si>
  <si>
    <t>cDNA41201</t>
  </si>
  <si>
    <t>lib35092</t>
  </si>
  <si>
    <t>F01</t>
  </si>
  <si>
    <t>39_1052610434</t>
  </si>
  <si>
    <t>S56774</t>
  </si>
  <si>
    <t>tRNA30222</t>
  </si>
  <si>
    <t>grRNA6943</t>
  </si>
  <si>
    <t>cDNA36654</t>
  </si>
  <si>
    <t>Plate_1_G5</t>
  </si>
  <si>
    <t>G</t>
  </si>
  <si>
    <t>lib30435</t>
  </si>
  <si>
    <t>G05</t>
  </si>
  <si>
    <t>S510</t>
  </si>
  <si>
    <t>CGTCTAAT</t>
  </si>
  <si>
    <t>grRNA7625</t>
  </si>
  <si>
    <t>cDNA41202</t>
  </si>
  <si>
    <t>lib35093</t>
  </si>
  <si>
    <t>G01</t>
  </si>
  <si>
    <t>40_116945054</t>
  </si>
  <si>
    <t>S56775</t>
  </si>
  <si>
    <t>tRNA30223</t>
  </si>
  <si>
    <t>grRNA6944</t>
  </si>
  <si>
    <t>cDNA36655</t>
  </si>
  <si>
    <t>Plate_1_H5</t>
  </si>
  <si>
    <t>H</t>
  </si>
  <si>
    <t>lib30436</t>
  </si>
  <si>
    <t>H05</t>
  </si>
  <si>
    <t>S511</t>
  </si>
  <si>
    <t>TCTCTCCG</t>
  </si>
  <si>
    <t>grRNA7626</t>
  </si>
  <si>
    <t>cDNA41203</t>
  </si>
  <si>
    <t>lib35094</t>
  </si>
  <si>
    <t>H01</t>
  </si>
  <si>
    <t>41_116945046</t>
  </si>
  <si>
    <t>S56776</t>
  </si>
  <si>
    <t>tRNA30224</t>
  </si>
  <si>
    <t>grRNA6945</t>
  </si>
  <si>
    <t>cDNA36656</t>
  </si>
  <si>
    <t>Plate_1_A6</t>
  </si>
  <si>
    <t>lib30437</t>
  </si>
  <si>
    <t>A06</t>
  </si>
  <si>
    <t>N722</t>
  </si>
  <si>
    <t>ATGCGCAG</t>
  </si>
  <si>
    <t>grRNA7627</t>
  </si>
  <si>
    <t>cDNA41204</t>
  </si>
  <si>
    <t>lib35095</t>
  </si>
  <si>
    <t>A02</t>
  </si>
  <si>
    <t>N718</t>
  </si>
  <si>
    <t>GGAGCTAC</t>
  </si>
  <si>
    <t>42_112805729</t>
  </si>
  <si>
    <t>S56777</t>
  </si>
  <si>
    <t>tRNA30225</t>
  </si>
  <si>
    <t>grRNA6946</t>
  </si>
  <si>
    <t>cDNA36657</t>
  </si>
  <si>
    <t>Plate_1_B6</t>
  </si>
  <si>
    <t>lib30438</t>
  </si>
  <si>
    <t>B06</t>
  </si>
  <si>
    <t>grRNA7628</t>
  </si>
  <si>
    <t>cDNA41205</t>
  </si>
  <si>
    <t>lib35096</t>
  </si>
  <si>
    <t>B02</t>
  </si>
  <si>
    <t>43_112820276</t>
  </si>
  <si>
    <t>S56778</t>
  </si>
  <si>
    <t>tRNA30226</t>
  </si>
  <si>
    <t>grRNA6947</t>
  </si>
  <si>
    <t>cDNA36658</t>
  </si>
  <si>
    <t>Plate_1_C6</t>
  </si>
  <si>
    <t>lib30439</t>
  </si>
  <si>
    <t>C06</t>
  </si>
  <si>
    <t>grRNA7629</t>
  </si>
  <si>
    <t>cDNA41206</t>
  </si>
  <si>
    <t>lib35097</t>
  </si>
  <si>
    <t>C02</t>
  </si>
  <si>
    <t>44_131693881</t>
  </si>
  <si>
    <t>S56779</t>
  </si>
  <si>
    <t>tRNA30227</t>
  </si>
  <si>
    <t>grRNA6948</t>
  </si>
  <si>
    <t>cDNA36659</t>
  </si>
  <si>
    <t>Plate_1_D6</t>
  </si>
  <si>
    <t>lib30440</t>
  </si>
  <si>
    <t>D06</t>
  </si>
  <si>
    <t>grRNA7630</t>
  </si>
  <si>
    <t>cDNA41207</t>
  </si>
  <si>
    <t>lib35098</t>
  </si>
  <si>
    <t>D02</t>
  </si>
  <si>
    <t>45_131693882</t>
  </si>
  <si>
    <t>S56780</t>
  </si>
  <si>
    <t>tRNA30228</t>
  </si>
  <si>
    <t>grRNA6949</t>
  </si>
  <si>
    <t>cDNA36660</t>
  </si>
  <si>
    <t>Plate_1_E6</t>
  </si>
  <si>
    <t>lib30441</t>
  </si>
  <si>
    <t>E06</t>
  </si>
  <si>
    <t>grRNA7631</t>
  </si>
  <si>
    <t>cDNA41208</t>
  </si>
  <si>
    <t>lib35099</t>
  </si>
  <si>
    <t>E02</t>
  </si>
  <si>
    <t>46_1052611687</t>
  </si>
  <si>
    <t>S56781</t>
  </si>
  <si>
    <t>tRNA30229</t>
  </si>
  <si>
    <t>grRNA6950</t>
  </si>
  <si>
    <t>cDNA36661</t>
  </si>
  <si>
    <t>Plate_1_F6</t>
  </si>
  <si>
    <t>lib30442</t>
  </si>
  <si>
    <t>F06</t>
  </si>
  <si>
    <t>grRNA7632</t>
  </si>
  <si>
    <t>cDNA41209</t>
  </si>
  <si>
    <t>lib35100</t>
  </si>
  <si>
    <t>F02</t>
  </si>
  <si>
    <t>47_1052611683</t>
  </si>
  <si>
    <t>S56782</t>
  </si>
  <si>
    <t>tRNA30230</t>
  </si>
  <si>
    <t>grRNA6951</t>
  </si>
  <si>
    <t>cDNA36662</t>
  </si>
  <si>
    <t>Plate_1_G6</t>
  </si>
  <si>
    <t>lib30443</t>
  </si>
  <si>
    <t>G06</t>
  </si>
  <si>
    <t>grRNA7633</t>
  </si>
  <si>
    <t>cDNA41210</t>
  </si>
  <si>
    <t>lib35101</t>
  </si>
  <si>
    <t>G02</t>
  </si>
  <si>
    <t>48_1052609441</t>
  </si>
  <si>
    <t>S56783</t>
  </si>
  <si>
    <t>tRNA30231</t>
  </si>
  <si>
    <t>grRNA6952</t>
  </si>
  <si>
    <t>cDNA36663</t>
  </si>
  <si>
    <t>Plate_1_H6</t>
  </si>
  <si>
    <t>lib30444</t>
  </si>
  <si>
    <t>H06</t>
  </si>
  <si>
    <t>grRNA7634</t>
  </si>
  <si>
    <t>cDNA41211</t>
  </si>
  <si>
    <t>lib35102</t>
  </si>
  <si>
    <t>H02</t>
  </si>
  <si>
    <t>new cDNA</t>
  </si>
  <si>
    <t>new Lib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</si>
</sst>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2" borderId="0" xfId="0" applyFill="1" applyBorder="1"/>
    <xf numFmtId="0" fontId="1" fillId="0" borderId="0" xfId="0" applyFont="1"/>
    <xf numFmtId="0" fontId="4" fillId="0" borderId="0" xfId="0" applyFont="1" applyBorder="1"/>
    <xf numFmtId="0" fontId="4" fillId="0" borderId="0" xfId="0" applyFont="1" applyFill="1" applyBorder="1"/>
    <xf numFmtId="0" fontId="0" fillId="2" borderId="0" xfId="0" applyFill="1"/>
    <xf numFmtId="0" fontId="6" fillId="3" borderId="0" xfId="1" applyFont="1" applyFill="1" applyBorder="1" applyAlignment="1">
      <alignment horizontal="left"/>
    </xf>
    <xf numFmtId="14" fontId="0" fillId="3" borderId="0" xfId="0" applyNumberFormat="1" applyFill="1" applyBorder="1"/>
    <xf numFmtId="0" fontId="0" fillId="3" borderId="0" xfId="0" applyFill="1" applyBorder="1"/>
    <xf numFmtId="0" fontId="0" fillId="0" borderId="0" xfId="0" applyBorder="1" applyAlignment="1">
      <alignment horizontal="center" vertical="center"/>
    </xf>
    <xf numFmtId="0" fontId="2" fillId="0" borderId="0" xfId="0" applyFont="1" applyFill="1" applyBorder="1"/>
    <xf numFmtId="0" fontId="0" fillId="0" borderId="0" xfId="0" applyBorder="1" applyAlignment="1">
      <alignment horizontal="center" vertical="center" wrapText="1"/>
    </xf>
    <xf numFmtId="0" fontId="0" fillId="4" borderId="0" xfId="0" applyFill="1" applyBorder="1"/>
    <xf numFmtId="0" fontId="6" fillId="0" borderId="0" xfId="2" applyFont="1" applyFill="1" applyBorder="1" applyAlignment="1">
      <alignment horizontal="left" wrapText="1"/>
    </xf>
    <xf numFmtId="14" fontId="0" fillId="0" borderId="0" xfId="0" applyNumberFormat="1" applyBorder="1"/>
  </cellXfs>
  <cellStyles count="3">
    <cellStyle name="Normal" xfId="0" builtinId="0"/>
    <cellStyle name="Normal_Sheet1" xfId="2"/>
    <cellStyle name="Normal_Sheet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7"/>
  <sheetViews>
    <sheetView tabSelected="1" topLeftCell="AA1" workbookViewId="0">
      <selection activeCell="AG28" sqref="AG28"/>
    </sheetView>
  </sheetViews>
  <sheetFormatPr defaultRowHeight="15" x14ac:dyDescent="0.25"/>
  <cols>
    <col min="2" max="2" width="15.140625" bestFit="1" customWidth="1"/>
    <col min="3" max="3" width="12.42578125" bestFit="1" customWidth="1"/>
    <col min="4" max="4" width="12.42578125" customWidth="1"/>
    <col min="5" max="5" width="13.28515625" bestFit="1" customWidth="1"/>
    <col min="6" max="6" width="12.42578125" bestFit="1" customWidth="1"/>
    <col min="7" max="7" width="9.7109375" bestFit="1" customWidth="1"/>
    <col min="8" max="8" width="19.85546875" bestFit="1" customWidth="1"/>
    <col min="9" max="9" width="14.28515625" bestFit="1" customWidth="1"/>
    <col min="10" max="10" width="14.28515625" customWidth="1"/>
    <col min="12" max="12" width="10.5703125" bestFit="1" customWidth="1"/>
    <col min="13" max="13" width="15.28515625" bestFit="1" customWidth="1"/>
    <col min="14" max="14" width="19" bestFit="1" customWidth="1"/>
    <col min="17" max="17" width="14.5703125" bestFit="1" customWidth="1"/>
    <col min="18" max="18" width="27.42578125" bestFit="1" customWidth="1"/>
    <col min="19" max="19" width="17.140625" customWidth="1"/>
    <col min="21" max="21" width="2.28515625" bestFit="1" customWidth="1"/>
    <col min="22" max="22" width="2" bestFit="1" customWidth="1"/>
    <col min="23" max="23" width="11" bestFit="1" customWidth="1"/>
    <col min="24" max="24" width="13.7109375" bestFit="1" customWidth="1"/>
    <col min="25" max="25" width="12.42578125" customWidth="1"/>
    <col min="26" max="26" width="27.7109375" customWidth="1"/>
    <col min="32" max="32" width="11.140625" bestFit="1" customWidth="1"/>
    <col min="34" max="34" width="6.42578125" customWidth="1"/>
    <col min="36" max="36" width="14.5703125" bestFit="1" customWidth="1"/>
    <col min="37" max="37" width="27.42578125" bestFit="1" customWidth="1"/>
  </cols>
  <sheetData>
    <row r="1" spans="1:46" s="1" customFormat="1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18</v>
      </c>
      <c r="W1" s="1" t="s">
        <v>19</v>
      </c>
      <c r="X1" s="1" t="s">
        <v>20</v>
      </c>
      <c r="Y1" s="4" t="s">
        <v>21</v>
      </c>
      <c r="Z1" s="1" t="s">
        <v>22</v>
      </c>
      <c r="AA1" s="5" t="s">
        <v>23</v>
      </c>
      <c r="AB1" s="5" t="s">
        <v>24</v>
      </c>
      <c r="AC1" s="5" t="s">
        <v>24</v>
      </c>
      <c r="AD1" s="5" t="s">
        <v>25</v>
      </c>
      <c r="AE1" s="5" t="s">
        <v>25</v>
      </c>
      <c r="AF1" s="6" t="s">
        <v>26</v>
      </c>
      <c r="AG1" s="5" t="s">
        <v>27</v>
      </c>
      <c r="AH1" t="s">
        <v>28</v>
      </c>
      <c r="AI1" s="1" t="s">
        <v>29</v>
      </c>
      <c r="AJ1" t="s">
        <v>269</v>
      </c>
      <c r="AK1" t="s">
        <v>17</v>
      </c>
      <c r="AL1" s="7" t="s">
        <v>30</v>
      </c>
      <c r="AM1" s="8" t="s">
        <v>31</v>
      </c>
      <c r="AN1" t="s">
        <v>270</v>
      </c>
      <c r="AO1" s="7" t="s">
        <v>32</v>
      </c>
      <c r="AP1" s="9" t="s">
        <v>23</v>
      </c>
      <c r="AQ1" s="9" t="s">
        <v>24</v>
      </c>
      <c r="AR1" s="9" t="s">
        <v>24</v>
      </c>
      <c r="AS1" s="9" t="s">
        <v>25</v>
      </c>
      <c r="AT1" s="9" t="s">
        <v>25</v>
      </c>
    </row>
    <row r="2" spans="1:46" s="12" customFormat="1" x14ac:dyDescent="0.25">
      <c r="A2" s="1" t="s">
        <v>33</v>
      </c>
      <c r="B2" s="10" t="s">
        <v>34</v>
      </c>
      <c r="C2" s="10" t="s">
        <v>35</v>
      </c>
      <c r="D2" s="10" t="s">
        <v>36</v>
      </c>
      <c r="E2" s="11">
        <v>43370</v>
      </c>
      <c r="F2" s="12" t="s">
        <v>37</v>
      </c>
      <c r="G2" s="1" t="s">
        <v>38</v>
      </c>
      <c r="H2" s="1" t="s">
        <v>34</v>
      </c>
      <c r="I2" s="1" t="s">
        <v>39</v>
      </c>
      <c r="J2" s="1" t="s">
        <v>40</v>
      </c>
      <c r="K2" s="13">
        <v>386.96</v>
      </c>
      <c r="L2" s="14">
        <v>15478.4</v>
      </c>
      <c r="M2" s="1" t="s">
        <v>41</v>
      </c>
      <c r="N2" s="1" t="s">
        <v>42</v>
      </c>
      <c r="O2" s="1">
        <v>25.44</v>
      </c>
      <c r="P2" s="15">
        <f t="shared" ref="P2:P17" si="0">O2*35</f>
        <v>890.40000000000009</v>
      </c>
      <c r="Q2" s="1" t="s">
        <v>43</v>
      </c>
      <c r="R2" s="1" t="s">
        <v>44</v>
      </c>
      <c r="S2" s="12" t="s">
        <v>45</v>
      </c>
      <c r="T2" s="12" t="s">
        <v>46</v>
      </c>
      <c r="U2" s="12" t="s">
        <v>47</v>
      </c>
      <c r="V2" s="12">
        <v>5</v>
      </c>
      <c r="Y2" s="16" t="s">
        <v>48</v>
      </c>
      <c r="Z2" s="12" t="s">
        <v>49</v>
      </c>
      <c r="AA2" s="5" t="s">
        <v>50</v>
      </c>
      <c r="AB2" s="5" t="s">
        <v>51</v>
      </c>
      <c r="AC2" s="5" t="s">
        <v>52</v>
      </c>
      <c r="AD2" s="5" t="s">
        <v>53</v>
      </c>
      <c r="AE2" s="5" t="s">
        <v>54</v>
      </c>
      <c r="AF2" t="s">
        <v>55</v>
      </c>
      <c r="AG2">
        <v>38.56</v>
      </c>
      <c r="AH2">
        <v>1</v>
      </c>
      <c r="AI2" s="12">
        <f t="shared" ref="AI2:AI17" si="1">AG2/0.5-1</f>
        <v>76.12</v>
      </c>
      <c r="AJ2" t="s">
        <v>56</v>
      </c>
      <c r="AK2" t="s">
        <v>44</v>
      </c>
      <c r="AL2">
        <v>10.9</v>
      </c>
      <c r="AN2" t="s">
        <v>57</v>
      </c>
      <c r="AO2" t="s">
        <v>58</v>
      </c>
      <c r="AP2" s="9" t="s">
        <v>59</v>
      </c>
      <c r="AQ2" s="9" t="s">
        <v>60</v>
      </c>
      <c r="AR2" s="9" t="s">
        <v>61</v>
      </c>
      <c r="AS2" s="9" t="s">
        <v>53</v>
      </c>
      <c r="AT2" s="9" t="s">
        <v>54</v>
      </c>
    </row>
    <row r="3" spans="1:46" s="12" customFormat="1" x14ac:dyDescent="0.25">
      <c r="A3" s="1" t="s">
        <v>33</v>
      </c>
      <c r="B3" s="10" t="s">
        <v>62</v>
      </c>
      <c r="C3" s="10" t="s">
        <v>35</v>
      </c>
      <c r="D3" s="10" t="s">
        <v>36</v>
      </c>
      <c r="E3" s="11">
        <v>43370</v>
      </c>
      <c r="F3" s="12" t="s">
        <v>37</v>
      </c>
      <c r="G3" s="1" t="s">
        <v>63</v>
      </c>
      <c r="H3" s="1" t="s">
        <v>62</v>
      </c>
      <c r="I3" s="1" t="s">
        <v>64</v>
      </c>
      <c r="J3" s="1" t="s">
        <v>40</v>
      </c>
      <c r="K3" s="13">
        <v>128.47999999999999</v>
      </c>
      <c r="L3" s="14">
        <v>5139.2</v>
      </c>
      <c r="M3" s="1" t="s">
        <v>65</v>
      </c>
      <c r="N3" s="1" t="s">
        <v>42</v>
      </c>
      <c r="O3" s="1">
        <v>22.64</v>
      </c>
      <c r="P3" s="15">
        <f t="shared" si="0"/>
        <v>792.4</v>
      </c>
      <c r="Q3" s="1" t="s">
        <v>66</v>
      </c>
      <c r="R3" s="1" t="s">
        <v>44</v>
      </c>
      <c r="S3" s="12" t="s">
        <v>67</v>
      </c>
      <c r="T3" s="12" t="s">
        <v>46</v>
      </c>
      <c r="U3" s="12" t="s">
        <v>68</v>
      </c>
      <c r="V3" s="12">
        <v>5</v>
      </c>
      <c r="W3" s="12">
        <v>13.5</v>
      </c>
      <c r="X3" s="12">
        <v>0.24</v>
      </c>
      <c r="Y3" s="16" t="s">
        <v>69</v>
      </c>
      <c r="Z3" s="12" t="s">
        <v>49</v>
      </c>
      <c r="AA3" s="5" t="s">
        <v>70</v>
      </c>
      <c r="AB3" s="5" t="s">
        <v>51</v>
      </c>
      <c r="AC3" s="5" t="s">
        <v>52</v>
      </c>
      <c r="AD3" s="5" t="s">
        <v>71</v>
      </c>
      <c r="AE3" s="5" t="s">
        <v>72</v>
      </c>
      <c r="AF3" t="s">
        <v>73</v>
      </c>
      <c r="AG3">
        <v>42.32</v>
      </c>
      <c r="AH3">
        <v>1</v>
      </c>
      <c r="AI3" s="12">
        <f t="shared" si="1"/>
        <v>83.64</v>
      </c>
      <c r="AJ3" t="s">
        <v>74</v>
      </c>
      <c r="AK3" t="s">
        <v>44</v>
      </c>
      <c r="AL3">
        <v>11.4</v>
      </c>
      <c r="AN3" t="s">
        <v>75</v>
      </c>
      <c r="AO3" t="s">
        <v>58</v>
      </c>
      <c r="AP3" s="9" t="s">
        <v>76</v>
      </c>
      <c r="AQ3" s="9" t="s">
        <v>60</v>
      </c>
      <c r="AR3" s="9" t="s">
        <v>61</v>
      </c>
      <c r="AS3" s="9" t="s">
        <v>71</v>
      </c>
      <c r="AT3" s="9" t="s">
        <v>72</v>
      </c>
    </row>
    <row r="4" spans="1:46" s="12" customFormat="1" x14ac:dyDescent="0.25">
      <c r="A4" s="1" t="s">
        <v>33</v>
      </c>
      <c r="B4" s="10" t="s">
        <v>77</v>
      </c>
      <c r="C4" s="10" t="s">
        <v>35</v>
      </c>
      <c r="D4" s="10" t="s">
        <v>36</v>
      </c>
      <c r="E4" s="11">
        <v>43370</v>
      </c>
      <c r="F4" s="12" t="s">
        <v>37</v>
      </c>
      <c r="G4" s="1" t="s">
        <v>78</v>
      </c>
      <c r="H4" s="1" t="s">
        <v>77</v>
      </c>
      <c r="I4" s="1" t="s">
        <v>79</v>
      </c>
      <c r="J4" s="1" t="s">
        <v>40</v>
      </c>
      <c r="K4" s="13">
        <v>307.68</v>
      </c>
      <c r="L4" s="14">
        <v>12307.2</v>
      </c>
      <c r="M4" s="1" t="s">
        <v>80</v>
      </c>
      <c r="N4" s="1" t="s">
        <v>42</v>
      </c>
      <c r="O4" s="1">
        <v>31.76</v>
      </c>
      <c r="P4" s="15">
        <f t="shared" si="0"/>
        <v>1111.6000000000001</v>
      </c>
      <c r="Q4" s="1" t="s">
        <v>81</v>
      </c>
      <c r="R4" s="1" t="s">
        <v>44</v>
      </c>
      <c r="S4" s="12" t="s">
        <v>82</v>
      </c>
      <c r="T4" s="12" t="s">
        <v>46</v>
      </c>
      <c r="U4" s="12" t="s">
        <v>83</v>
      </c>
      <c r="V4" s="12">
        <v>5</v>
      </c>
      <c r="Y4" s="16" t="s">
        <v>84</v>
      </c>
      <c r="Z4" s="12" t="s">
        <v>49</v>
      </c>
      <c r="AA4" s="5" t="s">
        <v>85</v>
      </c>
      <c r="AB4" s="5" t="s">
        <v>51</v>
      </c>
      <c r="AC4" s="5" t="s">
        <v>52</v>
      </c>
      <c r="AD4" s="5" t="s">
        <v>86</v>
      </c>
      <c r="AE4" s="5" t="s">
        <v>87</v>
      </c>
      <c r="AF4" t="s">
        <v>88</v>
      </c>
      <c r="AG4">
        <v>35.92</v>
      </c>
      <c r="AH4">
        <v>1</v>
      </c>
      <c r="AI4" s="12">
        <f t="shared" si="1"/>
        <v>70.84</v>
      </c>
      <c r="AJ4" t="s">
        <v>89</v>
      </c>
      <c r="AK4" t="s">
        <v>44</v>
      </c>
      <c r="AL4">
        <v>10.9</v>
      </c>
      <c r="AN4" t="s">
        <v>90</v>
      </c>
      <c r="AO4" t="s">
        <v>58</v>
      </c>
      <c r="AP4" s="9" t="s">
        <v>91</v>
      </c>
      <c r="AQ4" s="9" t="s">
        <v>60</v>
      </c>
      <c r="AR4" s="9" t="s">
        <v>61</v>
      </c>
      <c r="AS4" s="9" t="s">
        <v>86</v>
      </c>
      <c r="AT4" s="9" t="s">
        <v>87</v>
      </c>
    </row>
    <row r="5" spans="1:46" s="1" customFormat="1" x14ac:dyDescent="0.25">
      <c r="A5" s="1" t="s">
        <v>33</v>
      </c>
      <c r="B5" s="10" t="s">
        <v>92</v>
      </c>
      <c r="C5" s="17" t="s">
        <v>93</v>
      </c>
      <c r="D5" s="10" t="s">
        <v>36</v>
      </c>
      <c r="E5" s="18">
        <v>43370</v>
      </c>
      <c r="F5" s="1" t="s">
        <v>37</v>
      </c>
      <c r="G5" s="1" t="s">
        <v>94</v>
      </c>
      <c r="H5" s="1" t="s">
        <v>92</v>
      </c>
      <c r="I5" s="1" t="s">
        <v>95</v>
      </c>
      <c r="J5" s="1" t="s">
        <v>96</v>
      </c>
      <c r="K5" s="1">
        <v>337.04</v>
      </c>
      <c r="L5" s="1">
        <v>6740.8</v>
      </c>
      <c r="M5" s="1" t="s">
        <v>97</v>
      </c>
      <c r="N5" s="1" t="s">
        <v>42</v>
      </c>
      <c r="O5" s="1">
        <v>24.96</v>
      </c>
      <c r="P5" s="15">
        <f t="shared" si="0"/>
        <v>873.6</v>
      </c>
      <c r="Q5" s="1" t="s">
        <v>98</v>
      </c>
      <c r="R5" s="1" t="s">
        <v>44</v>
      </c>
      <c r="S5" s="12" t="s">
        <v>99</v>
      </c>
      <c r="T5" s="12" t="s">
        <v>46</v>
      </c>
      <c r="U5" s="12" t="s">
        <v>100</v>
      </c>
      <c r="V5" s="12">
        <v>5</v>
      </c>
      <c r="Y5" s="16" t="s">
        <v>101</v>
      </c>
      <c r="Z5" s="12" t="s">
        <v>49</v>
      </c>
      <c r="AA5" s="5" t="s">
        <v>102</v>
      </c>
      <c r="AB5" s="5" t="s">
        <v>51</v>
      </c>
      <c r="AC5" s="5" t="s">
        <v>52</v>
      </c>
      <c r="AD5" s="5" t="s">
        <v>103</v>
      </c>
      <c r="AE5" s="5" t="s">
        <v>104</v>
      </c>
      <c r="AF5" t="s">
        <v>105</v>
      </c>
      <c r="AG5">
        <v>30.48</v>
      </c>
      <c r="AH5">
        <v>1</v>
      </c>
      <c r="AI5" s="12">
        <f t="shared" si="1"/>
        <v>59.96</v>
      </c>
      <c r="AJ5" t="s">
        <v>106</v>
      </c>
      <c r="AK5" t="s">
        <v>44</v>
      </c>
      <c r="AL5">
        <v>15.6</v>
      </c>
      <c r="AM5" s="1">
        <v>0.379</v>
      </c>
      <c r="AN5" t="s">
        <v>107</v>
      </c>
      <c r="AO5" t="s">
        <v>58</v>
      </c>
      <c r="AP5" s="9" t="s">
        <v>108</v>
      </c>
      <c r="AQ5" s="9" t="s">
        <v>60</v>
      </c>
      <c r="AR5" s="9" t="s">
        <v>61</v>
      </c>
      <c r="AS5" s="9" t="s">
        <v>103</v>
      </c>
      <c r="AT5" s="9" t="s">
        <v>104</v>
      </c>
    </row>
    <row r="6" spans="1:46" s="1" customFormat="1" x14ac:dyDescent="0.25">
      <c r="A6" s="1" t="s">
        <v>33</v>
      </c>
      <c r="B6" s="10" t="s">
        <v>109</v>
      </c>
      <c r="C6" s="17" t="s">
        <v>93</v>
      </c>
      <c r="D6" s="10" t="s">
        <v>36</v>
      </c>
      <c r="E6" s="18">
        <v>43370</v>
      </c>
      <c r="F6" s="1" t="s">
        <v>37</v>
      </c>
      <c r="G6" s="1" t="s">
        <v>110</v>
      </c>
      <c r="H6" s="1" t="s">
        <v>109</v>
      </c>
      <c r="I6" s="1" t="s">
        <v>111</v>
      </c>
      <c r="J6" s="1" t="s">
        <v>96</v>
      </c>
      <c r="K6" s="1">
        <v>458.08</v>
      </c>
      <c r="L6" s="1">
        <v>9161.6</v>
      </c>
      <c r="M6" s="1" t="s">
        <v>112</v>
      </c>
      <c r="N6" s="1" t="s">
        <v>42</v>
      </c>
      <c r="O6" s="1">
        <v>27.44</v>
      </c>
      <c r="P6" s="15">
        <f t="shared" si="0"/>
        <v>960.40000000000009</v>
      </c>
      <c r="Q6" s="1" t="s">
        <v>113</v>
      </c>
      <c r="R6" s="1" t="s">
        <v>44</v>
      </c>
      <c r="S6" s="12" t="s">
        <v>114</v>
      </c>
      <c r="T6" s="12" t="s">
        <v>46</v>
      </c>
      <c r="U6" s="12" t="s">
        <v>115</v>
      </c>
      <c r="V6" s="12">
        <v>5</v>
      </c>
      <c r="Y6" s="16" t="s">
        <v>116</v>
      </c>
      <c r="Z6" s="12" t="s">
        <v>49</v>
      </c>
      <c r="AA6" s="5" t="s">
        <v>117</v>
      </c>
      <c r="AB6" s="5" t="s">
        <v>51</v>
      </c>
      <c r="AC6" s="5" t="s">
        <v>52</v>
      </c>
      <c r="AD6" s="5" t="s">
        <v>118</v>
      </c>
      <c r="AE6" s="5" t="s">
        <v>119</v>
      </c>
      <c r="AF6" t="s">
        <v>120</v>
      </c>
      <c r="AG6">
        <v>34.64</v>
      </c>
      <c r="AH6">
        <v>1</v>
      </c>
      <c r="AI6" s="12">
        <f t="shared" si="1"/>
        <v>68.28</v>
      </c>
      <c r="AJ6" t="s">
        <v>121</v>
      </c>
      <c r="AK6" t="s">
        <v>44</v>
      </c>
      <c r="AL6">
        <v>17.399999999999999</v>
      </c>
      <c r="AN6" t="s">
        <v>122</v>
      </c>
      <c r="AO6" t="s">
        <v>58</v>
      </c>
      <c r="AP6" s="9" t="s">
        <v>123</v>
      </c>
      <c r="AQ6" s="9" t="s">
        <v>60</v>
      </c>
      <c r="AR6" s="9" t="s">
        <v>61</v>
      </c>
      <c r="AS6" s="9" t="s">
        <v>118</v>
      </c>
      <c r="AT6" s="9" t="s">
        <v>119</v>
      </c>
    </row>
    <row r="7" spans="1:46" s="1" customFormat="1" x14ac:dyDescent="0.25">
      <c r="A7" s="1" t="s">
        <v>33</v>
      </c>
      <c r="B7" s="10" t="s">
        <v>124</v>
      </c>
      <c r="C7" s="17" t="s">
        <v>93</v>
      </c>
      <c r="D7" s="10" t="s">
        <v>36</v>
      </c>
      <c r="E7" s="18">
        <v>43370</v>
      </c>
      <c r="F7" s="1" t="s">
        <v>37</v>
      </c>
      <c r="G7" s="1" t="s">
        <v>125</v>
      </c>
      <c r="H7" s="1" t="s">
        <v>124</v>
      </c>
      <c r="I7" s="1" t="s">
        <v>126</v>
      </c>
      <c r="J7" s="1" t="s">
        <v>96</v>
      </c>
      <c r="K7" s="1">
        <v>816.24</v>
      </c>
      <c r="L7" s="1">
        <v>16324.8</v>
      </c>
      <c r="M7" s="1" t="s">
        <v>127</v>
      </c>
      <c r="N7" s="1" t="s">
        <v>42</v>
      </c>
      <c r="O7" s="1">
        <v>28.88</v>
      </c>
      <c r="P7" s="15">
        <f t="shared" si="0"/>
        <v>1010.8</v>
      </c>
      <c r="Q7" s="1" t="s">
        <v>128</v>
      </c>
      <c r="R7" s="1" t="s">
        <v>44</v>
      </c>
      <c r="S7" s="12" t="s">
        <v>129</v>
      </c>
      <c r="T7" s="12" t="s">
        <v>46</v>
      </c>
      <c r="U7" s="12" t="s">
        <v>130</v>
      </c>
      <c r="V7" s="12">
        <v>5</v>
      </c>
      <c r="Y7" s="16" t="s">
        <v>131</v>
      </c>
      <c r="Z7" s="12" t="s">
        <v>49</v>
      </c>
      <c r="AA7" s="5" t="s">
        <v>132</v>
      </c>
      <c r="AB7" s="5" t="s">
        <v>51</v>
      </c>
      <c r="AC7" s="5" t="s">
        <v>52</v>
      </c>
      <c r="AD7" s="5" t="s">
        <v>133</v>
      </c>
      <c r="AE7" s="5" t="s">
        <v>134</v>
      </c>
      <c r="AF7" t="s">
        <v>135</v>
      </c>
      <c r="AG7">
        <v>34.64</v>
      </c>
      <c r="AH7">
        <v>1</v>
      </c>
      <c r="AI7" s="12">
        <f t="shared" si="1"/>
        <v>68.28</v>
      </c>
      <c r="AJ7" t="s">
        <v>136</v>
      </c>
      <c r="AK7" t="s">
        <v>44</v>
      </c>
      <c r="AL7">
        <v>12.8</v>
      </c>
      <c r="AN7" t="s">
        <v>137</v>
      </c>
      <c r="AO7" t="s">
        <v>58</v>
      </c>
      <c r="AP7" s="9" t="s">
        <v>138</v>
      </c>
      <c r="AQ7" s="9" t="s">
        <v>60</v>
      </c>
      <c r="AR7" s="9" t="s">
        <v>61</v>
      </c>
      <c r="AS7" s="9" t="s">
        <v>133</v>
      </c>
      <c r="AT7" s="9" t="s">
        <v>134</v>
      </c>
    </row>
    <row r="8" spans="1:46" s="1" customFormat="1" x14ac:dyDescent="0.25">
      <c r="A8" s="1" t="s">
        <v>33</v>
      </c>
      <c r="B8" s="10" t="s">
        <v>139</v>
      </c>
      <c r="C8" s="17" t="s">
        <v>93</v>
      </c>
      <c r="D8" s="10" t="s">
        <v>36</v>
      </c>
      <c r="E8" s="18">
        <v>43370</v>
      </c>
      <c r="F8" s="1" t="s">
        <v>37</v>
      </c>
      <c r="G8" s="1" t="s">
        <v>140</v>
      </c>
      <c r="H8" s="1" t="s">
        <v>139</v>
      </c>
      <c r="I8" s="1" t="s">
        <v>141</v>
      </c>
      <c r="J8" s="1" t="s">
        <v>96</v>
      </c>
      <c r="K8" s="1">
        <v>230.64</v>
      </c>
      <c r="L8" s="1">
        <v>4612.7999999999993</v>
      </c>
      <c r="M8" s="1" t="s">
        <v>142</v>
      </c>
      <c r="N8" s="1" t="s">
        <v>42</v>
      </c>
      <c r="O8" s="1">
        <v>28.56</v>
      </c>
      <c r="P8" s="15">
        <f t="shared" si="0"/>
        <v>999.59999999999991</v>
      </c>
      <c r="Q8" s="1" t="s">
        <v>143</v>
      </c>
      <c r="R8" s="1" t="s">
        <v>44</v>
      </c>
      <c r="S8" s="12" t="s">
        <v>144</v>
      </c>
      <c r="T8" s="12" t="s">
        <v>46</v>
      </c>
      <c r="U8" s="12" t="s">
        <v>145</v>
      </c>
      <c r="V8" s="12">
        <v>5</v>
      </c>
      <c r="Y8" s="16" t="s">
        <v>146</v>
      </c>
      <c r="Z8" s="12" t="s">
        <v>49</v>
      </c>
      <c r="AA8" s="5" t="s">
        <v>147</v>
      </c>
      <c r="AB8" s="5" t="s">
        <v>51</v>
      </c>
      <c r="AC8" s="5" t="s">
        <v>52</v>
      </c>
      <c r="AD8" s="5" t="s">
        <v>148</v>
      </c>
      <c r="AE8" s="5" t="s">
        <v>149</v>
      </c>
      <c r="AF8" t="s">
        <v>150</v>
      </c>
      <c r="AG8">
        <v>35.28</v>
      </c>
      <c r="AH8">
        <v>1</v>
      </c>
      <c r="AI8" s="12">
        <f t="shared" si="1"/>
        <v>69.56</v>
      </c>
      <c r="AJ8" t="s">
        <v>151</v>
      </c>
      <c r="AK8" t="s">
        <v>44</v>
      </c>
      <c r="AL8">
        <v>15</v>
      </c>
      <c r="AN8" t="s">
        <v>152</v>
      </c>
      <c r="AO8" t="s">
        <v>58</v>
      </c>
      <c r="AP8" s="9" t="s">
        <v>153</v>
      </c>
      <c r="AQ8" s="9" t="s">
        <v>60</v>
      </c>
      <c r="AR8" s="9" t="s">
        <v>61</v>
      </c>
      <c r="AS8" s="9" t="s">
        <v>148</v>
      </c>
      <c r="AT8" s="9" t="s">
        <v>149</v>
      </c>
    </row>
    <row r="9" spans="1:46" s="1" customFormat="1" x14ac:dyDescent="0.25">
      <c r="A9" s="1" t="s">
        <v>33</v>
      </c>
      <c r="B9" s="10" t="s">
        <v>154</v>
      </c>
      <c r="C9" s="17" t="s">
        <v>93</v>
      </c>
      <c r="D9" s="10" t="s">
        <v>36</v>
      </c>
      <c r="E9" s="18">
        <v>43370</v>
      </c>
      <c r="F9" s="1" t="s">
        <v>37</v>
      </c>
      <c r="G9" s="1" t="s">
        <v>155</v>
      </c>
      <c r="H9" s="1" t="s">
        <v>154</v>
      </c>
      <c r="I9" s="1" t="s">
        <v>156</v>
      </c>
      <c r="J9" s="1" t="s">
        <v>96</v>
      </c>
      <c r="K9" s="1">
        <v>685.6</v>
      </c>
      <c r="L9" s="1">
        <v>13712</v>
      </c>
      <c r="M9" s="1" t="s">
        <v>157</v>
      </c>
      <c r="N9" s="1" t="s">
        <v>42</v>
      </c>
      <c r="O9" s="1">
        <v>50.48</v>
      </c>
      <c r="P9" s="15">
        <f t="shared" si="0"/>
        <v>1766.8</v>
      </c>
      <c r="Q9" s="1" t="s">
        <v>158</v>
      </c>
      <c r="R9" s="1" t="s">
        <v>44</v>
      </c>
      <c r="S9" s="12" t="s">
        <v>159</v>
      </c>
      <c r="T9" s="12" t="s">
        <v>46</v>
      </c>
      <c r="U9" s="12" t="s">
        <v>160</v>
      </c>
      <c r="V9" s="12">
        <v>5</v>
      </c>
      <c r="Y9" s="16" t="s">
        <v>161</v>
      </c>
      <c r="Z9" s="12" t="s">
        <v>49</v>
      </c>
      <c r="AA9" s="5" t="s">
        <v>162</v>
      </c>
      <c r="AB9" s="5" t="s">
        <v>51</v>
      </c>
      <c r="AC9" s="5" t="s">
        <v>52</v>
      </c>
      <c r="AD9" s="5" t="s">
        <v>163</v>
      </c>
      <c r="AE9" s="5" t="s">
        <v>164</v>
      </c>
      <c r="AF9" t="s">
        <v>165</v>
      </c>
      <c r="AG9">
        <v>58.16</v>
      </c>
      <c r="AH9">
        <v>1</v>
      </c>
      <c r="AI9" s="12">
        <f t="shared" si="1"/>
        <v>115.32</v>
      </c>
      <c r="AJ9" t="s">
        <v>166</v>
      </c>
      <c r="AK9" t="s">
        <v>44</v>
      </c>
      <c r="AL9">
        <v>13.4</v>
      </c>
      <c r="AN9" t="s">
        <v>167</v>
      </c>
      <c r="AO9" t="s">
        <v>58</v>
      </c>
      <c r="AP9" s="9" t="s">
        <v>168</v>
      </c>
      <c r="AQ9" s="9" t="s">
        <v>60</v>
      </c>
      <c r="AR9" s="9" t="s">
        <v>61</v>
      </c>
      <c r="AS9" s="9" t="s">
        <v>163</v>
      </c>
      <c r="AT9" s="9" t="s">
        <v>164</v>
      </c>
    </row>
    <row r="10" spans="1:46" s="1" customFormat="1" x14ac:dyDescent="0.25">
      <c r="A10" s="1" t="s">
        <v>33</v>
      </c>
      <c r="B10" s="10" t="s">
        <v>169</v>
      </c>
      <c r="C10" s="17" t="s">
        <v>93</v>
      </c>
      <c r="D10" s="10" t="s">
        <v>36</v>
      </c>
      <c r="E10" s="18">
        <v>43370</v>
      </c>
      <c r="F10" s="1" t="s">
        <v>37</v>
      </c>
      <c r="G10" s="1" t="s">
        <v>170</v>
      </c>
      <c r="H10" s="1" t="s">
        <v>169</v>
      </c>
      <c r="I10" s="1" t="s">
        <v>171</v>
      </c>
      <c r="J10" s="1" t="s">
        <v>96</v>
      </c>
      <c r="K10" s="1">
        <v>483.04</v>
      </c>
      <c r="L10" s="1">
        <v>9660.8000000000011</v>
      </c>
      <c r="M10" s="1" t="s">
        <v>172</v>
      </c>
      <c r="N10" s="1" t="s">
        <v>42</v>
      </c>
      <c r="O10" s="1">
        <v>32.4</v>
      </c>
      <c r="P10" s="15">
        <f t="shared" si="0"/>
        <v>1134</v>
      </c>
      <c r="Q10" s="1" t="s">
        <v>173</v>
      </c>
      <c r="R10" s="1" t="s">
        <v>44</v>
      </c>
      <c r="S10" s="12" t="s">
        <v>174</v>
      </c>
      <c r="T10" s="12" t="s">
        <v>46</v>
      </c>
      <c r="U10" s="12" t="s">
        <v>47</v>
      </c>
      <c r="V10" s="12">
        <v>6</v>
      </c>
      <c r="Y10" s="16" t="s">
        <v>175</v>
      </c>
      <c r="Z10" s="12" t="s">
        <v>49</v>
      </c>
      <c r="AA10" s="5" t="s">
        <v>176</v>
      </c>
      <c r="AB10" s="5" t="s">
        <v>177</v>
      </c>
      <c r="AC10" s="5" t="s">
        <v>178</v>
      </c>
      <c r="AD10" s="5" t="s">
        <v>53</v>
      </c>
      <c r="AE10" s="5" t="s">
        <v>54</v>
      </c>
      <c r="AF10" t="s">
        <v>179</v>
      </c>
      <c r="AG10">
        <v>35.119999999999997</v>
      </c>
      <c r="AH10">
        <v>1</v>
      </c>
      <c r="AI10" s="12">
        <f t="shared" si="1"/>
        <v>69.239999999999995</v>
      </c>
      <c r="AJ10" t="s">
        <v>180</v>
      </c>
      <c r="AK10" t="s">
        <v>44</v>
      </c>
      <c r="AL10">
        <v>13</v>
      </c>
      <c r="AM10" s="1">
        <v>0.35499999999999998</v>
      </c>
      <c r="AN10" t="s">
        <v>181</v>
      </c>
      <c r="AO10" t="s">
        <v>58</v>
      </c>
      <c r="AP10" s="9" t="s">
        <v>182</v>
      </c>
      <c r="AQ10" s="9" t="s">
        <v>183</v>
      </c>
      <c r="AR10" s="9" t="s">
        <v>184</v>
      </c>
      <c r="AS10" s="9" t="s">
        <v>53</v>
      </c>
      <c r="AT10" s="9" t="s">
        <v>54</v>
      </c>
    </row>
    <row r="11" spans="1:46" s="1" customFormat="1" x14ac:dyDescent="0.25">
      <c r="A11" s="1" t="s">
        <v>33</v>
      </c>
      <c r="B11" s="10" t="s">
        <v>185</v>
      </c>
      <c r="C11" s="17" t="s">
        <v>93</v>
      </c>
      <c r="D11" s="10" t="s">
        <v>36</v>
      </c>
      <c r="E11" s="18">
        <v>43370</v>
      </c>
      <c r="F11" s="1" t="s">
        <v>37</v>
      </c>
      <c r="G11" s="1" t="s">
        <v>186</v>
      </c>
      <c r="H11" s="1" t="s">
        <v>185</v>
      </c>
      <c r="I11" s="1" t="s">
        <v>187</v>
      </c>
      <c r="J11" s="1" t="s">
        <v>96</v>
      </c>
      <c r="K11" s="1">
        <v>276.56</v>
      </c>
      <c r="L11" s="1">
        <v>5531.2</v>
      </c>
      <c r="M11" s="1" t="s">
        <v>188</v>
      </c>
      <c r="N11" s="1" t="s">
        <v>42</v>
      </c>
      <c r="O11" s="1">
        <v>32.159999999999997</v>
      </c>
      <c r="P11" s="15">
        <f t="shared" si="0"/>
        <v>1125.5999999999999</v>
      </c>
      <c r="Q11" s="1" t="s">
        <v>189</v>
      </c>
      <c r="R11" s="1" t="s">
        <v>44</v>
      </c>
      <c r="S11" s="12" t="s">
        <v>190</v>
      </c>
      <c r="T11" s="12" t="s">
        <v>46</v>
      </c>
      <c r="U11" s="12" t="s">
        <v>68</v>
      </c>
      <c r="V11" s="12">
        <v>6</v>
      </c>
      <c r="Y11" s="16" t="s">
        <v>191</v>
      </c>
      <c r="Z11" s="12" t="s">
        <v>49</v>
      </c>
      <c r="AA11" s="5" t="s">
        <v>192</v>
      </c>
      <c r="AB11" s="5" t="s">
        <v>177</v>
      </c>
      <c r="AC11" s="5" t="s">
        <v>178</v>
      </c>
      <c r="AD11" s="5" t="s">
        <v>71</v>
      </c>
      <c r="AE11" s="5" t="s">
        <v>72</v>
      </c>
      <c r="AF11" t="s">
        <v>193</v>
      </c>
      <c r="AG11">
        <v>31.44</v>
      </c>
      <c r="AH11">
        <v>1</v>
      </c>
      <c r="AI11" s="12">
        <f t="shared" si="1"/>
        <v>61.88</v>
      </c>
      <c r="AJ11" t="s">
        <v>194</v>
      </c>
      <c r="AK11" t="s">
        <v>44</v>
      </c>
      <c r="AL11">
        <v>11</v>
      </c>
      <c r="AN11" t="s">
        <v>195</v>
      </c>
      <c r="AO11" t="s">
        <v>58</v>
      </c>
      <c r="AP11" s="9" t="s">
        <v>196</v>
      </c>
      <c r="AQ11" s="9" t="s">
        <v>183</v>
      </c>
      <c r="AR11" s="9" t="s">
        <v>184</v>
      </c>
      <c r="AS11" s="9" t="s">
        <v>71</v>
      </c>
      <c r="AT11" s="9" t="s">
        <v>72</v>
      </c>
    </row>
    <row r="12" spans="1:46" s="1" customFormat="1" x14ac:dyDescent="0.25">
      <c r="A12" s="1" t="s">
        <v>33</v>
      </c>
      <c r="B12" s="10" t="s">
        <v>197</v>
      </c>
      <c r="C12" s="17" t="s">
        <v>93</v>
      </c>
      <c r="D12" s="10" t="s">
        <v>36</v>
      </c>
      <c r="E12" s="18">
        <v>43370</v>
      </c>
      <c r="F12" s="1" t="s">
        <v>37</v>
      </c>
      <c r="G12" s="1" t="s">
        <v>198</v>
      </c>
      <c r="H12" s="1" t="s">
        <v>197</v>
      </c>
      <c r="I12" s="1" t="s">
        <v>199</v>
      </c>
      <c r="J12" s="1" t="s">
        <v>96</v>
      </c>
      <c r="K12" s="1">
        <v>836.64</v>
      </c>
      <c r="L12" s="1">
        <v>16732.8</v>
      </c>
      <c r="M12" s="1" t="s">
        <v>200</v>
      </c>
      <c r="N12" s="1" t="s">
        <v>42</v>
      </c>
      <c r="O12" s="1">
        <v>31.68</v>
      </c>
      <c r="P12" s="15">
        <f t="shared" si="0"/>
        <v>1108.8</v>
      </c>
      <c r="Q12" s="1" t="s">
        <v>201</v>
      </c>
      <c r="R12" s="1" t="s">
        <v>44</v>
      </c>
      <c r="S12" s="12" t="s">
        <v>202</v>
      </c>
      <c r="T12" s="12" t="s">
        <v>46</v>
      </c>
      <c r="U12" s="12" t="s">
        <v>83</v>
      </c>
      <c r="V12" s="12">
        <v>6</v>
      </c>
      <c r="Y12" s="16" t="s">
        <v>203</v>
      </c>
      <c r="Z12" s="12" t="s">
        <v>49</v>
      </c>
      <c r="AA12" s="5" t="s">
        <v>204</v>
      </c>
      <c r="AB12" s="5" t="s">
        <v>177</v>
      </c>
      <c r="AC12" s="5" t="s">
        <v>178</v>
      </c>
      <c r="AD12" s="5" t="s">
        <v>86</v>
      </c>
      <c r="AE12" s="5" t="s">
        <v>87</v>
      </c>
      <c r="AF12" t="s">
        <v>205</v>
      </c>
      <c r="AG12">
        <v>74.959999999999994</v>
      </c>
      <c r="AH12">
        <v>1</v>
      </c>
      <c r="AI12" s="12">
        <f t="shared" si="1"/>
        <v>148.91999999999999</v>
      </c>
      <c r="AJ12" t="s">
        <v>206</v>
      </c>
      <c r="AK12" t="s">
        <v>44</v>
      </c>
      <c r="AL12">
        <v>11.1</v>
      </c>
      <c r="AN12" t="s">
        <v>207</v>
      </c>
      <c r="AO12" t="s">
        <v>58</v>
      </c>
      <c r="AP12" s="9" t="s">
        <v>208</v>
      </c>
      <c r="AQ12" s="9" t="s">
        <v>183</v>
      </c>
      <c r="AR12" s="9" t="s">
        <v>184</v>
      </c>
      <c r="AS12" s="9" t="s">
        <v>86</v>
      </c>
      <c r="AT12" s="9" t="s">
        <v>87</v>
      </c>
    </row>
    <row r="13" spans="1:46" s="1" customFormat="1" x14ac:dyDescent="0.25">
      <c r="A13" s="1" t="s">
        <v>33</v>
      </c>
      <c r="B13" s="10" t="s">
        <v>209</v>
      </c>
      <c r="C13" s="17" t="s">
        <v>93</v>
      </c>
      <c r="D13" s="10" t="s">
        <v>36</v>
      </c>
      <c r="E13" s="18">
        <v>43370</v>
      </c>
      <c r="F13" s="1" t="s">
        <v>37</v>
      </c>
      <c r="G13" s="1" t="s">
        <v>210</v>
      </c>
      <c r="H13" s="1" t="s">
        <v>209</v>
      </c>
      <c r="I13" s="1" t="s">
        <v>211</v>
      </c>
      <c r="J13" s="1" t="s">
        <v>96</v>
      </c>
      <c r="K13" s="1">
        <v>251.2</v>
      </c>
      <c r="L13" s="1">
        <v>5024</v>
      </c>
      <c r="M13" s="1" t="s">
        <v>212</v>
      </c>
      <c r="N13" s="1" t="s">
        <v>42</v>
      </c>
      <c r="O13" s="1">
        <v>32.479999999999997</v>
      </c>
      <c r="P13" s="15">
        <f t="shared" si="0"/>
        <v>1136.8</v>
      </c>
      <c r="Q13" s="1" t="s">
        <v>213</v>
      </c>
      <c r="R13" s="1" t="s">
        <v>44</v>
      </c>
      <c r="S13" s="12" t="s">
        <v>214</v>
      </c>
      <c r="T13" s="12" t="s">
        <v>46</v>
      </c>
      <c r="U13" s="12" t="s">
        <v>100</v>
      </c>
      <c r="V13" s="12">
        <v>6</v>
      </c>
      <c r="Y13" s="16" t="s">
        <v>215</v>
      </c>
      <c r="Z13" s="12" t="s">
        <v>49</v>
      </c>
      <c r="AA13" s="5" t="s">
        <v>216</v>
      </c>
      <c r="AB13" s="5" t="s">
        <v>177</v>
      </c>
      <c r="AC13" s="5" t="s">
        <v>178</v>
      </c>
      <c r="AD13" s="5" t="s">
        <v>103</v>
      </c>
      <c r="AE13" s="5" t="s">
        <v>104</v>
      </c>
      <c r="AF13" t="s">
        <v>217</v>
      </c>
      <c r="AG13">
        <v>35.44</v>
      </c>
      <c r="AH13">
        <v>1</v>
      </c>
      <c r="AI13" s="12">
        <f t="shared" si="1"/>
        <v>69.88</v>
      </c>
      <c r="AJ13" t="s">
        <v>218</v>
      </c>
      <c r="AK13" t="s">
        <v>44</v>
      </c>
      <c r="AL13">
        <v>14.1</v>
      </c>
      <c r="AN13" t="s">
        <v>219</v>
      </c>
      <c r="AO13" t="s">
        <v>58</v>
      </c>
      <c r="AP13" s="9" t="s">
        <v>220</v>
      </c>
      <c r="AQ13" s="9" t="s">
        <v>183</v>
      </c>
      <c r="AR13" s="9" t="s">
        <v>184</v>
      </c>
      <c r="AS13" s="9" t="s">
        <v>103</v>
      </c>
      <c r="AT13" s="9" t="s">
        <v>104</v>
      </c>
    </row>
    <row r="14" spans="1:46" s="1" customFormat="1" x14ac:dyDescent="0.25">
      <c r="A14" s="1" t="s">
        <v>33</v>
      </c>
      <c r="B14" s="10" t="s">
        <v>221</v>
      </c>
      <c r="C14" s="17" t="s">
        <v>93</v>
      </c>
      <c r="D14" s="10" t="s">
        <v>36</v>
      </c>
      <c r="E14" s="18">
        <v>43370</v>
      </c>
      <c r="F14" s="1" t="s">
        <v>37</v>
      </c>
      <c r="G14" s="1" t="s">
        <v>222</v>
      </c>
      <c r="H14" s="1" t="s">
        <v>221</v>
      </c>
      <c r="I14" s="1" t="s">
        <v>223</v>
      </c>
      <c r="J14" s="1" t="s">
        <v>96</v>
      </c>
      <c r="K14" s="1">
        <v>176.4</v>
      </c>
      <c r="L14" s="1">
        <v>3528</v>
      </c>
      <c r="M14" s="1" t="s">
        <v>224</v>
      </c>
      <c r="N14" s="1" t="s">
        <v>42</v>
      </c>
      <c r="O14" s="1">
        <v>32.159999999999997</v>
      </c>
      <c r="P14" s="15">
        <f t="shared" si="0"/>
        <v>1125.5999999999999</v>
      </c>
      <c r="Q14" s="1" t="s">
        <v>225</v>
      </c>
      <c r="R14" s="1" t="s">
        <v>44</v>
      </c>
      <c r="S14" s="12" t="s">
        <v>226</v>
      </c>
      <c r="T14" s="12" t="s">
        <v>46</v>
      </c>
      <c r="U14" s="12" t="s">
        <v>115</v>
      </c>
      <c r="V14" s="12">
        <v>6</v>
      </c>
      <c r="Y14" s="16" t="s">
        <v>227</v>
      </c>
      <c r="Z14" s="12" t="s">
        <v>49</v>
      </c>
      <c r="AA14" s="5" t="s">
        <v>228</v>
      </c>
      <c r="AB14" s="5" t="s">
        <v>177</v>
      </c>
      <c r="AC14" s="5" t="s">
        <v>178</v>
      </c>
      <c r="AD14" s="5" t="s">
        <v>118</v>
      </c>
      <c r="AE14" s="5" t="s">
        <v>119</v>
      </c>
      <c r="AF14" t="s">
        <v>229</v>
      </c>
      <c r="AG14">
        <v>35.119999999999997</v>
      </c>
      <c r="AH14">
        <v>1</v>
      </c>
      <c r="AI14" s="12">
        <f t="shared" si="1"/>
        <v>69.239999999999995</v>
      </c>
      <c r="AJ14" t="s">
        <v>230</v>
      </c>
      <c r="AK14" t="s">
        <v>44</v>
      </c>
      <c r="AL14">
        <v>17.5</v>
      </c>
      <c r="AN14" t="s">
        <v>231</v>
      </c>
      <c r="AO14" t="s">
        <v>58</v>
      </c>
      <c r="AP14" s="9" t="s">
        <v>232</v>
      </c>
      <c r="AQ14" s="9" t="s">
        <v>183</v>
      </c>
      <c r="AR14" s="9" t="s">
        <v>184</v>
      </c>
      <c r="AS14" s="9" t="s">
        <v>118</v>
      </c>
      <c r="AT14" s="9" t="s">
        <v>119</v>
      </c>
    </row>
    <row r="15" spans="1:46" s="1" customFormat="1" x14ac:dyDescent="0.25">
      <c r="A15" s="1" t="s">
        <v>33</v>
      </c>
      <c r="B15" s="10" t="s">
        <v>233</v>
      </c>
      <c r="C15" s="17" t="s">
        <v>93</v>
      </c>
      <c r="D15" s="10" t="s">
        <v>36</v>
      </c>
      <c r="E15" s="18">
        <v>43370</v>
      </c>
      <c r="F15" s="1" t="s">
        <v>37</v>
      </c>
      <c r="G15" s="1" t="s">
        <v>234</v>
      </c>
      <c r="H15" s="1" t="s">
        <v>233</v>
      </c>
      <c r="I15" s="1" t="s">
        <v>235</v>
      </c>
      <c r="J15" s="1" t="s">
        <v>96</v>
      </c>
      <c r="K15" s="1">
        <v>307.36</v>
      </c>
      <c r="L15" s="1">
        <v>6147.2000000000007</v>
      </c>
      <c r="M15" s="1" t="s">
        <v>236</v>
      </c>
      <c r="N15" s="1" t="s">
        <v>42</v>
      </c>
      <c r="O15" s="1">
        <v>33.04</v>
      </c>
      <c r="P15" s="15">
        <f t="shared" si="0"/>
        <v>1156.3999999999999</v>
      </c>
      <c r="Q15" s="1" t="s">
        <v>237</v>
      </c>
      <c r="R15" s="1" t="s">
        <v>44</v>
      </c>
      <c r="S15" s="12" t="s">
        <v>238</v>
      </c>
      <c r="T15" s="12" t="s">
        <v>46</v>
      </c>
      <c r="U15" s="12" t="s">
        <v>130</v>
      </c>
      <c r="V15" s="12">
        <v>6</v>
      </c>
      <c r="Y15" s="16" t="s">
        <v>239</v>
      </c>
      <c r="Z15" s="12" t="s">
        <v>49</v>
      </c>
      <c r="AA15" s="5" t="s">
        <v>240</v>
      </c>
      <c r="AB15" s="5" t="s">
        <v>177</v>
      </c>
      <c r="AC15" s="5" t="s">
        <v>178</v>
      </c>
      <c r="AD15" s="5" t="s">
        <v>133</v>
      </c>
      <c r="AE15" s="5" t="s">
        <v>134</v>
      </c>
      <c r="AF15" t="s">
        <v>241</v>
      </c>
      <c r="AG15">
        <v>29.36</v>
      </c>
      <c r="AH15">
        <v>1</v>
      </c>
      <c r="AI15" s="12">
        <f t="shared" si="1"/>
        <v>57.72</v>
      </c>
      <c r="AJ15" t="s">
        <v>242</v>
      </c>
      <c r="AK15" t="s">
        <v>44</v>
      </c>
      <c r="AL15">
        <v>19.2</v>
      </c>
      <c r="AN15" t="s">
        <v>243</v>
      </c>
      <c r="AO15" t="s">
        <v>58</v>
      </c>
      <c r="AP15" s="9" t="s">
        <v>244</v>
      </c>
      <c r="AQ15" s="9" t="s">
        <v>183</v>
      </c>
      <c r="AR15" s="9" t="s">
        <v>184</v>
      </c>
      <c r="AS15" s="9" t="s">
        <v>133</v>
      </c>
      <c r="AT15" s="9" t="s">
        <v>134</v>
      </c>
    </row>
    <row r="16" spans="1:46" s="1" customFormat="1" x14ac:dyDescent="0.25">
      <c r="A16" s="1" t="s">
        <v>33</v>
      </c>
      <c r="B16" s="10" t="s">
        <v>245</v>
      </c>
      <c r="C16" s="17" t="s">
        <v>93</v>
      </c>
      <c r="D16" s="10" t="s">
        <v>36</v>
      </c>
      <c r="E16" s="18">
        <v>43370</v>
      </c>
      <c r="F16" s="1" t="s">
        <v>37</v>
      </c>
      <c r="G16" s="1" t="s">
        <v>246</v>
      </c>
      <c r="H16" s="1" t="s">
        <v>245</v>
      </c>
      <c r="I16" s="1" t="s">
        <v>247</v>
      </c>
      <c r="J16" s="1" t="s">
        <v>96</v>
      </c>
      <c r="K16" s="1">
        <v>688.48</v>
      </c>
      <c r="L16" s="1">
        <v>13769.6</v>
      </c>
      <c r="M16" s="1" t="s">
        <v>248</v>
      </c>
      <c r="N16" s="1" t="s">
        <v>42</v>
      </c>
      <c r="O16" s="1">
        <v>32.96</v>
      </c>
      <c r="P16" s="15">
        <f t="shared" si="0"/>
        <v>1153.6000000000001</v>
      </c>
      <c r="Q16" s="1" t="s">
        <v>249</v>
      </c>
      <c r="R16" s="1" t="s">
        <v>44</v>
      </c>
      <c r="S16" s="12" t="s">
        <v>250</v>
      </c>
      <c r="T16" s="12" t="s">
        <v>46</v>
      </c>
      <c r="U16" s="12" t="s">
        <v>145</v>
      </c>
      <c r="V16" s="12">
        <v>6</v>
      </c>
      <c r="Y16" s="16" t="s">
        <v>251</v>
      </c>
      <c r="Z16" s="12" t="s">
        <v>49</v>
      </c>
      <c r="AA16" s="5" t="s">
        <v>252</v>
      </c>
      <c r="AB16" s="5" t="s">
        <v>177</v>
      </c>
      <c r="AC16" s="5" t="s">
        <v>178</v>
      </c>
      <c r="AD16" s="5" t="s">
        <v>148</v>
      </c>
      <c r="AE16" s="5" t="s">
        <v>149</v>
      </c>
      <c r="AF16" t="s">
        <v>253</v>
      </c>
      <c r="AG16">
        <v>34.56</v>
      </c>
      <c r="AH16">
        <v>1</v>
      </c>
      <c r="AI16" s="12">
        <f t="shared" si="1"/>
        <v>68.12</v>
      </c>
      <c r="AJ16" t="s">
        <v>254</v>
      </c>
      <c r="AK16" t="s">
        <v>44</v>
      </c>
      <c r="AL16">
        <v>13.9</v>
      </c>
      <c r="AN16" t="s">
        <v>255</v>
      </c>
      <c r="AO16" t="s">
        <v>58</v>
      </c>
      <c r="AP16" s="9" t="s">
        <v>256</v>
      </c>
      <c r="AQ16" s="9" t="s">
        <v>183</v>
      </c>
      <c r="AR16" s="9" t="s">
        <v>184</v>
      </c>
      <c r="AS16" s="9" t="s">
        <v>148</v>
      </c>
      <c r="AT16" s="9" t="s">
        <v>149</v>
      </c>
    </row>
    <row r="17" spans="1:46" s="1" customFormat="1" x14ac:dyDescent="0.25">
      <c r="A17" s="1" t="s">
        <v>33</v>
      </c>
      <c r="B17" s="10" t="s">
        <v>257</v>
      </c>
      <c r="C17" s="17" t="s">
        <v>93</v>
      </c>
      <c r="D17" s="10" t="s">
        <v>36</v>
      </c>
      <c r="E17" s="18">
        <v>43370</v>
      </c>
      <c r="F17" s="1" t="s">
        <v>37</v>
      </c>
      <c r="G17" s="1" t="s">
        <v>258</v>
      </c>
      <c r="H17" s="1" t="s">
        <v>257</v>
      </c>
      <c r="I17" s="1" t="s">
        <v>259</v>
      </c>
      <c r="J17" s="1" t="s">
        <v>96</v>
      </c>
      <c r="K17" s="1">
        <v>178.48</v>
      </c>
      <c r="L17" s="1">
        <v>3569.6</v>
      </c>
      <c r="M17" s="1" t="s">
        <v>260</v>
      </c>
      <c r="N17" s="1" t="s">
        <v>42</v>
      </c>
      <c r="O17" s="1">
        <v>51.04</v>
      </c>
      <c r="P17" s="15">
        <f t="shared" si="0"/>
        <v>1786.3999999999999</v>
      </c>
      <c r="Q17" s="1" t="s">
        <v>261</v>
      </c>
      <c r="R17" s="1" t="s">
        <v>44</v>
      </c>
      <c r="S17" s="12" t="s">
        <v>262</v>
      </c>
      <c r="T17" s="12" t="s">
        <v>46</v>
      </c>
      <c r="U17" s="12" t="s">
        <v>160</v>
      </c>
      <c r="V17" s="12">
        <v>6</v>
      </c>
      <c r="W17" s="1">
        <v>32.1</v>
      </c>
      <c r="X17" s="1">
        <v>0.38</v>
      </c>
      <c r="Y17" s="16" t="s">
        <v>263</v>
      </c>
      <c r="Z17" s="12" t="s">
        <v>49</v>
      </c>
      <c r="AA17" s="5" t="s">
        <v>264</v>
      </c>
      <c r="AB17" s="5" t="s">
        <v>177</v>
      </c>
      <c r="AC17" s="5" t="s">
        <v>178</v>
      </c>
      <c r="AD17" s="5" t="s">
        <v>163</v>
      </c>
      <c r="AE17" s="5" t="s">
        <v>164</v>
      </c>
      <c r="AF17" t="s">
        <v>265</v>
      </c>
      <c r="AG17">
        <v>25.6</v>
      </c>
      <c r="AH17">
        <v>1</v>
      </c>
      <c r="AI17" s="12">
        <f t="shared" si="1"/>
        <v>50.2</v>
      </c>
      <c r="AJ17" t="s">
        <v>266</v>
      </c>
      <c r="AK17" t="s">
        <v>44</v>
      </c>
      <c r="AL17">
        <v>21.4</v>
      </c>
      <c r="AM17" s="1">
        <v>0.40100000000000002</v>
      </c>
      <c r="AN17" t="s">
        <v>267</v>
      </c>
      <c r="AO17" t="s">
        <v>58</v>
      </c>
      <c r="AP17" s="9" t="s">
        <v>268</v>
      </c>
      <c r="AQ17" s="9" t="s">
        <v>183</v>
      </c>
      <c r="AR17" s="9" t="s">
        <v>184</v>
      </c>
      <c r="AS17" s="9" t="s">
        <v>163</v>
      </c>
      <c r="AT17" s="9" t="s">
        <v>164</v>
      </c>
    </row>
  </sheetData>
  <conditionalFormatting sqref="B2:B1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Benaroya Research Institute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Quynh-Anh Nguyen</dc:creator>
  <cp:lastModifiedBy>Quynh-Anh Nguyen</cp:lastModifiedBy>
  <dcterms:created xsi:type="dcterms:W3CDTF">2019-01-16T17:19:50Z</dcterms:created>
  <dcterms:modified xsi:type="dcterms:W3CDTF">2019-01-16T17:22:54Z</dcterms:modified>
</cp:coreProperties>
</file>