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5"/>
  <workbookPr/>
  <mc:AlternateContent xmlns:mc="http://schemas.openxmlformats.org/markup-compatibility/2006">
    <mc:Choice Requires="x15">
      <x15ac:absPath xmlns:x15ac="http://schemas.microsoft.com/office/spreadsheetml/2010/11/ac" url="/Users/mdufort/Box/Projects/TN10_RNAseq_teplizumab_in_T1D_autoantibody_positive/annotation/"/>
    </mc:Choice>
  </mc:AlternateContent>
  <xr:revisionPtr revIDLastSave="0" documentId="13_ncr:1_{6D33C6F2-83A5-764B-A59E-53B7C8A7D622}" xr6:coauthVersionLast="36" xr6:coauthVersionMax="36" xr10:uidLastSave="{00000000-0000-0000-0000-000000000000}"/>
  <bookViews>
    <workbookView xWindow="260" yWindow="-16820" windowWidth="21740" windowHeight="10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" i="1" l="1"/>
  <c r="AW4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" i="1"/>
  <c r="P199" i="1" l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<sst xmlns="http://schemas.openxmlformats.org/spreadsheetml/2006/main" count="5589" uniqueCount="1648">
  <si>
    <t xml:space="preserve">sample name </t>
  </si>
  <si>
    <t>content type</t>
  </si>
  <si>
    <t>Species</t>
  </si>
  <si>
    <t>date received</t>
  </si>
  <si>
    <t>researchers</t>
  </si>
  <si>
    <t>Sample Id</t>
  </si>
  <si>
    <t>Proj-Sub</t>
  </si>
  <si>
    <t>sample sampleName</t>
  </si>
  <si>
    <t>tRNA sampleId</t>
  </si>
  <si>
    <t>tRNA protocol</t>
  </si>
  <si>
    <t>tRNA ng/ul</t>
  </si>
  <si>
    <t>tRNA Yield (ng)</t>
  </si>
  <si>
    <t>grRNA sampleId</t>
  </si>
  <si>
    <t>grRNA protocolId</t>
  </si>
  <si>
    <t>grRNA ng/ul</t>
  </si>
  <si>
    <t>grRNA Yield (ng)</t>
  </si>
  <si>
    <t>cDNA sampleId</t>
  </si>
  <si>
    <t>cDNA protocolId</t>
  </si>
  <si>
    <t>Location</t>
  </si>
  <si>
    <t>cDNA ng/ul</t>
  </si>
  <si>
    <t>cDNA 0.3ng/ul</t>
  </si>
  <si>
    <t>library sampleId</t>
  </si>
  <si>
    <t>Protocol</t>
  </si>
  <si>
    <t>Sample_Well</t>
  </si>
  <si>
    <t>Index 7</t>
  </si>
  <si>
    <t>Index 5</t>
  </si>
  <si>
    <t>1_TNY56J1</t>
  </si>
  <si>
    <t>Whole Blood</t>
  </si>
  <si>
    <t>Human</t>
  </si>
  <si>
    <t>Peter Linsley</t>
  </si>
  <si>
    <t>S56736</t>
  </si>
  <si>
    <t>P264-1</t>
  </si>
  <si>
    <t>tRNA30184</t>
  </si>
  <si>
    <t xml:space="preserve">MagMax </t>
  </si>
  <si>
    <t>grRNA6905</t>
  </si>
  <si>
    <t>GlobinClear_Human</t>
  </si>
  <si>
    <t>cDNA36616</t>
  </si>
  <si>
    <t>SMART-SeqV4_Bulk_Half_Vol</t>
  </si>
  <si>
    <t>Plate_1_A1</t>
  </si>
  <si>
    <t>Plate_1</t>
  </si>
  <si>
    <t>A</t>
  </si>
  <si>
    <t>lib30397</t>
  </si>
  <si>
    <t>1/2 Volume NexteraXT Set B</t>
  </si>
  <si>
    <t>A01</t>
  </si>
  <si>
    <t>N716</t>
  </si>
  <si>
    <t>ACTCGCTA</t>
  </si>
  <si>
    <t>S502</t>
  </si>
  <si>
    <t>CTCTCTAT</t>
  </si>
  <si>
    <t>2_TNY73G3</t>
  </si>
  <si>
    <t>S56737</t>
  </si>
  <si>
    <t>tRNA30185</t>
  </si>
  <si>
    <t>grRNA6906</t>
  </si>
  <si>
    <t>cDNA36617</t>
  </si>
  <si>
    <t>Plate_1_B1</t>
  </si>
  <si>
    <t>B</t>
  </si>
  <si>
    <t>lib30398</t>
  </si>
  <si>
    <t>B01</t>
  </si>
  <si>
    <t>S503</t>
  </si>
  <si>
    <t>TATCCTCT</t>
  </si>
  <si>
    <t>3_TNY58MP</t>
  </si>
  <si>
    <t>S56738</t>
  </si>
  <si>
    <t>tRNA30186</t>
  </si>
  <si>
    <t>grRNA6907</t>
  </si>
  <si>
    <t>cDNA36618</t>
  </si>
  <si>
    <t>Plate_1_C1</t>
  </si>
  <si>
    <t>C</t>
  </si>
  <si>
    <t>lib30399</t>
  </si>
  <si>
    <t>C01</t>
  </si>
  <si>
    <t>S505</t>
  </si>
  <si>
    <t>GTAAGGAG</t>
  </si>
  <si>
    <t>4_TNY3TGA</t>
  </si>
  <si>
    <t>S56739</t>
  </si>
  <si>
    <t>tRNA30187</t>
  </si>
  <si>
    <t>grRNA6908</t>
  </si>
  <si>
    <t>cDNA36619</t>
  </si>
  <si>
    <t>Plate_1_D1</t>
  </si>
  <si>
    <t>D</t>
  </si>
  <si>
    <t>lib30400</t>
  </si>
  <si>
    <t>D01</t>
  </si>
  <si>
    <t>S506</t>
  </si>
  <si>
    <t>ACTGCATA</t>
  </si>
  <si>
    <t>5_TNY3JW1</t>
  </si>
  <si>
    <t>S56740</t>
  </si>
  <si>
    <t>tRNA30188</t>
  </si>
  <si>
    <t>grRNA6909</t>
  </si>
  <si>
    <t>cDNA36620</t>
  </si>
  <si>
    <t>Plate_1_E1</t>
  </si>
  <si>
    <t>E</t>
  </si>
  <si>
    <t>lib30401</t>
  </si>
  <si>
    <t>E01</t>
  </si>
  <si>
    <t>S507</t>
  </si>
  <si>
    <t>AAGGAGTA</t>
  </si>
  <si>
    <t>6_TNY3JXJ</t>
  </si>
  <si>
    <t>S56741</t>
  </si>
  <si>
    <t>tRNA30189</t>
  </si>
  <si>
    <t>grRNA6910</t>
  </si>
  <si>
    <t>cDNA36621</t>
  </si>
  <si>
    <t>Plate_1_F1</t>
  </si>
  <si>
    <t>F</t>
  </si>
  <si>
    <t>lib30402</t>
  </si>
  <si>
    <t>F01</t>
  </si>
  <si>
    <t>S508</t>
  </si>
  <si>
    <t>CTAAGCCT</t>
  </si>
  <si>
    <t>7_TNY6X1N</t>
  </si>
  <si>
    <t>S56742</t>
  </si>
  <si>
    <t>tRNA30190</t>
  </si>
  <si>
    <t>grRNA6911</t>
  </si>
  <si>
    <t>cDNA36622</t>
  </si>
  <si>
    <t>Plate_1_G1</t>
  </si>
  <si>
    <t>G</t>
  </si>
  <si>
    <t>lib30403</t>
  </si>
  <si>
    <t>G01</t>
  </si>
  <si>
    <t>S510</t>
  </si>
  <si>
    <t>CGTCTAAT</t>
  </si>
  <si>
    <t>8_TNY6X1A</t>
  </si>
  <si>
    <t>S56743</t>
  </si>
  <si>
    <t>tRNA30191</t>
  </si>
  <si>
    <t>grRNA6912</t>
  </si>
  <si>
    <t>cDNA36623</t>
  </si>
  <si>
    <t>Plate_1_H1</t>
  </si>
  <si>
    <t>H</t>
  </si>
  <si>
    <t>lib30404</t>
  </si>
  <si>
    <t>H01</t>
  </si>
  <si>
    <t>S511</t>
  </si>
  <si>
    <t>TCTCTCCG</t>
  </si>
  <si>
    <t>9_TNY652M</t>
  </si>
  <si>
    <t>S56744</t>
  </si>
  <si>
    <t>tRNA30192</t>
  </si>
  <si>
    <t>grRNA6913</t>
  </si>
  <si>
    <t>cDNA36624</t>
  </si>
  <si>
    <t>Plate_1_A2</t>
  </si>
  <si>
    <t>lib30405</t>
  </si>
  <si>
    <t>A02</t>
  </si>
  <si>
    <t>N718</t>
  </si>
  <si>
    <t>GGAGCTAC</t>
  </si>
  <si>
    <t>10_TNY6N63</t>
  </si>
  <si>
    <t>S56745</t>
  </si>
  <si>
    <t>tRNA30193</t>
  </si>
  <si>
    <t>grRNA6914</t>
  </si>
  <si>
    <t>cDNA36625</t>
  </si>
  <si>
    <t>Plate_1_B2</t>
  </si>
  <si>
    <t>lib30406</t>
  </si>
  <si>
    <t>B02</t>
  </si>
  <si>
    <t>11_TNY60MW</t>
  </si>
  <si>
    <t>S56746</t>
  </si>
  <si>
    <t>tRNA30194</t>
  </si>
  <si>
    <t>grRNA6915</t>
  </si>
  <si>
    <t>cDNA36626</t>
  </si>
  <si>
    <t>Plate_1_C2</t>
  </si>
  <si>
    <t>lib30407</t>
  </si>
  <si>
    <t>C02</t>
  </si>
  <si>
    <t>12_TNY6577</t>
  </si>
  <si>
    <t>S56747</t>
  </si>
  <si>
    <t>tRNA30195</t>
  </si>
  <si>
    <t>grRNA6916</t>
  </si>
  <si>
    <t>cDNA36627</t>
  </si>
  <si>
    <t>Plate_1_D2</t>
  </si>
  <si>
    <t>lib30408</t>
  </si>
  <si>
    <t>D02</t>
  </si>
  <si>
    <t>13_TNY1014</t>
  </si>
  <si>
    <t>S56748</t>
  </si>
  <si>
    <t>tRNA30196</t>
  </si>
  <si>
    <t>grRNA6917</t>
  </si>
  <si>
    <t>cDNA36628</t>
  </si>
  <si>
    <t>Plate_1_E2</t>
  </si>
  <si>
    <t>lib30409</t>
  </si>
  <si>
    <t>E02</t>
  </si>
  <si>
    <t>14_TNY69JA</t>
  </si>
  <si>
    <t>S56749</t>
  </si>
  <si>
    <t>tRNA30197</t>
  </si>
  <si>
    <t>grRNA6918</t>
  </si>
  <si>
    <t>cDNA36629</t>
  </si>
  <si>
    <t>Plate_1_F2</t>
  </si>
  <si>
    <t>lib30410</t>
  </si>
  <si>
    <t>F02</t>
  </si>
  <si>
    <t>15_TNY69JL</t>
  </si>
  <si>
    <t>S56750</t>
  </si>
  <si>
    <t>tRNA30198</t>
  </si>
  <si>
    <t>grRNA6919</t>
  </si>
  <si>
    <t>cDNA36630</t>
  </si>
  <si>
    <t>Plate_1_G2</t>
  </si>
  <si>
    <t>lib30411</t>
  </si>
  <si>
    <t>G02</t>
  </si>
  <si>
    <t>16_TNY68XA</t>
  </si>
  <si>
    <t>S56751</t>
  </si>
  <si>
    <t>tRNA30199</t>
  </si>
  <si>
    <t>grRNA6920</t>
  </si>
  <si>
    <t>cDNA36631</t>
  </si>
  <si>
    <t>Plate_1_H2</t>
  </si>
  <si>
    <t>lib30412</t>
  </si>
  <si>
    <t>H02</t>
  </si>
  <si>
    <t>17_TNY470M</t>
  </si>
  <si>
    <t>S56752</t>
  </si>
  <si>
    <t>tRNA30200</t>
  </si>
  <si>
    <t>grRNA6921</t>
  </si>
  <si>
    <t>cDNA36632</t>
  </si>
  <si>
    <t>Plate_1_A3</t>
  </si>
  <si>
    <t>lib30413</t>
  </si>
  <si>
    <t>A03</t>
  </si>
  <si>
    <t>N719</t>
  </si>
  <si>
    <t>GCGTAGTA</t>
  </si>
  <si>
    <t>18_TNY3T7J</t>
  </si>
  <si>
    <t>S56753</t>
  </si>
  <si>
    <t>tRNA30201</t>
  </si>
  <si>
    <t>grRNA6922</t>
  </si>
  <si>
    <t>cDNA36633</t>
  </si>
  <si>
    <t>Plate_1_B3</t>
  </si>
  <si>
    <t>lib30414</t>
  </si>
  <si>
    <t>B03</t>
  </si>
  <si>
    <t>19_TNY5AP3</t>
  </si>
  <si>
    <t>S56754</t>
  </si>
  <si>
    <t>tRNA30202</t>
  </si>
  <si>
    <t>grRNA6923</t>
  </si>
  <si>
    <t>cDNA36634</t>
  </si>
  <si>
    <t>Plate_1_C3</t>
  </si>
  <si>
    <t>lib30415</t>
  </si>
  <si>
    <t>C03</t>
  </si>
  <si>
    <t>20_TNY6W26</t>
  </si>
  <si>
    <t>S56755</t>
  </si>
  <si>
    <t>tRNA30203</t>
  </si>
  <si>
    <t>grRNA6924</t>
  </si>
  <si>
    <t>cDNA36635</t>
  </si>
  <si>
    <t>Plate_1_D3</t>
  </si>
  <si>
    <t>lib30416</t>
  </si>
  <si>
    <t>D03</t>
  </si>
  <si>
    <t>21_TNY8G9X</t>
  </si>
  <si>
    <t>S56756</t>
  </si>
  <si>
    <t>tRNA30204</t>
  </si>
  <si>
    <t>grRNA6925</t>
  </si>
  <si>
    <t>cDNA36636</t>
  </si>
  <si>
    <t>Plate_1_E3</t>
  </si>
  <si>
    <t>lib30417</t>
  </si>
  <si>
    <t>E03</t>
  </si>
  <si>
    <t>22_TNY1L12</t>
  </si>
  <si>
    <t>S56757</t>
  </si>
  <si>
    <t>tRNA30205</t>
  </si>
  <si>
    <t>grRNA6926</t>
  </si>
  <si>
    <t>cDNA36637</t>
  </si>
  <si>
    <t>Plate_1_F3</t>
  </si>
  <si>
    <t>lib30418</t>
  </si>
  <si>
    <t>F03</t>
  </si>
  <si>
    <t>23_TNY8M70</t>
  </si>
  <si>
    <t>S56758</t>
  </si>
  <si>
    <t>tRNA30206</t>
  </si>
  <si>
    <t>grRNA6927</t>
  </si>
  <si>
    <t>cDNA36638</t>
  </si>
  <si>
    <t>Plate_1_G3</t>
  </si>
  <si>
    <t>lib30419</t>
  </si>
  <si>
    <t>G03</t>
  </si>
  <si>
    <t>24_TNY8MAW</t>
  </si>
  <si>
    <t>S56759</t>
  </si>
  <si>
    <t>tRNA30207</t>
  </si>
  <si>
    <t>grRNA6928</t>
  </si>
  <si>
    <t>cDNA36639</t>
  </si>
  <si>
    <t>Plate_1_H3</t>
  </si>
  <si>
    <t>lib30420</t>
  </si>
  <si>
    <t>H03</t>
  </si>
  <si>
    <t>25_TNYA5L9</t>
  </si>
  <si>
    <t>S56760</t>
  </si>
  <si>
    <t>tRNA30208</t>
  </si>
  <si>
    <t>grRNA6929</t>
  </si>
  <si>
    <t>cDNA36640</t>
  </si>
  <si>
    <t>Plate_1_A4</t>
  </si>
  <si>
    <t>lib30421</t>
  </si>
  <si>
    <t>A04</t>
  </si>
  <si>
    <t>N720</t>
  </si>
  <si>
    <t>CGGAGCCT</t>
  </si>
  <si>
    <t>26_TNY8M16</t>
  </si>
  <si>
    <t>S56761</t>
  </si>
  <si>
    <t>tRNA30209</t>
  </si>
  <si>
    <t>grRNA6930</t>
  </si>
  <si>
    <t>cDNA36641</t>
  </si>
  <si>
    <t>Plate_1_B4</t>
  </si>
  <si>
    <t>lib30422</t>
  </si>
  <si>
    <t>B04</t>
  </si>
  <si>
    <t>27_TNYA09G</t>
  </si>
  <si>
    <t>S56762</t>
  </si>
  <si>
    <t>tRNA30210</t>
  </si>
  <si>
    <t>grRNA6931</t>
  </si>
  <si>
    <t>cDNA36642</t>
  </si>
  <si>
    <t>Plate_1_C4</t>
  </si>
  <si>
    <t>lib30423</t>
  </si>
  <si>
    <t>C04</t>
  </si>
  <si>
    <t>28_TNY4J1W</t>
  </si>
  <si>
    <t>S56763</t>
  </si>
  <si>
    <t>tRNA30211</t>
  </si>
  <si>
    <t>grRNA6932</t>
  </si>
  <si>
    <t>cDNA36643</t>
  </si>
  <si>
    <t>Plate_1_D4</t>
  </si>
  <si>
    <t>lib30424</t>
  </si>
  <si>
    <t>D04</t>
  </si>
  <si>
    <t>29_TNY8X0M</t>
  </si>
  <si>
    <t>S56764</t>
  </si>
  <si>
    <t>tRNA30212</t>
  </si>
  <si>
    <t>grRNA6933</t>
  </si>
  <si>
    <t>cDNA36644</t>
  </si>
  <si>
    <t>Plate_1_E4</t>
  </si>
  <si>
    <t>lib30425</t>
  </si>
  <si>
    <t>E04</t>
  </si>
  <si>
    <t>30_TNYA7AX</t>
  </si>
  <si>
    <t>S56765</t>
  </si>
  <si>
    <t>tRNA30213</t>
  </si>
  <si>
    <t>grRNA6934</t>
  </si>
  <si>
    <t>cDNA36645</t>
  </si>
  <si>
    <t>Plate_1_F4</t>
  </si>
  <si>
    <t>lib30426</t>
  </si>
  <si>
    <t>F04</t>
  </si>
  <si>
    <t>31_TNY24C3</t>
  </si>
  <si>
    <t>S56766</t>
  </si>
  <si>
    <t>tRNA30214</t>
  </si>
  <si>
    <t>grRNA6935</t>
  </si>
  <si>
    <t>cDNA36646</t>
  </si>
  <si>
    <t>Plate_1_G4</t>
  </si>
  <si>
    <t>lib30427</t>
  </si>
  <si>
    <t>G04</t>
  </si>
  <si>
    <t>32_TNY9HTX</t>
  </si>
  <si>
    <t>S56767</t>
  </si>
  <si>
    <t>tRNA30215</t>
  </si>
  <si>
    <t>grRNA6936</t>
  </si>
  <si>
    <t>cDNA36647</t>
  </si>
  <si>
    <t>Plate_1_H4</t>
  </si>
  <si>
    <t>lib30428</t>
  </si>
  <si>
    <t>H04</t>
  </si>
  <si>
    <t>33_TNY1389</t>
  </si>
  <si>
    <t>S56768</t>
  </si>
  <si>
    <t>tRNA30216</t>
  </si>
  <si>
    <t>grRNA6937</t>
  </si>
  <si>
    <t>cDNA36648</t>
  </si>
  <si>
    <t>Plate_1_A5</t>
  </si>
  <si>
    <t>lib30429</t>
  </si>
  <si>
    <t>A05</t>
  </si>
  <si>
    <t>N721</t>
  </si>
  <si>
    <t>TACGCTGC</t>
  </si>
  <si>
    <t>34_TNY75H7</t>
  </si>
  <si>
    <t>S56769</t>
  </si>
  <si>
    <t>tRNA30217</t>
  </si>
  <si>
    <t>grRNA6938</t>
  </si>
  <si>
    <t>cDNA36649</t>
  </si>
  <si>
    <t>Plate_1_B5</t>
  </si>
  <si>
    <t>lib30430</t>
  </si>
  <si>
    <t>B05</t>
  </si>
  <si>
    <t>35_TNYGV8M</t>
  </si>
  <si>
    <t>S56770</t>
  </si>
  <si>
    <t>tRNA30218</t>
  </si>
  <si>
    <t>grRNA6939</t>
  </si>
  <si>
    <t>cDNA36650</t>
  </si>
  <si>
    <t>Plate_1_C5</t>
  </si>
  <si>
    <t>lib30431</t>
  </si>
  <si>
    <t>C05</t>
  </si>
  <si>
    <t>36_124436711</t>
  </si>
  <si>
    <t>total RNA</t>
  </si>
  <si>
    <t>S56771</t>
  </si>
  <si>
    <t>tRNA30219</t>
  </si>
  <si>
    <t>received as total RNA</t>
  </si>
  <si>
    <t>grRNA6940</t>
  </si>
  <si>
    <t>cDNA36651</t>
  </si>
  <si>
    <t>Plate_1_D5</t>
  </si>
  <si>
    <t>lib30432</t>
  </si>
  <si>
    <t>D05</t>
  </si>
  <si>
    <t>37_124436675</t>
  </si>
  <si>
    <t>S56772</t>
  </si>
  <si>
    <t>tRNA30220</t>
  </si>
  <si>
    <t>grRNA6941</t>
  </si>
  <si>
    <t>cDNA36652</t>
  </si>
  <si>
    <t>Plate_1_E5</t>
  </si>
  <si>
    <t>lib30433</t>
  </si>
  <si>
    <t>E05</t>
  </si>
  <si>
    <t>38_116941554</t>
  </si>
  <si>
    <t>S56773</t>
  </si>
  <si>
    <t>tRNA30221</t>
  </si>
  <si>
    <t>grRNA6942</t>
  </si>
  <si>
    <t>cDNA36653</t>
  </si>
  <si>
    <t>Plate_1_F5</t>
  </si>
  <si>
    <t>lib30434</t>
  </si>
  <si>
    <t>F05</t>
  </si>
  <si>
    <t>39_1052610434</t>
  </si>
  <si>
    <t>S56774</t>
  </si>
  <si>
    <t>tRNA30222</t>
  </si>
  <si>
    <t>grRNA6943</t>
  </si>
  <si>
    <t>cDNA36654</t>
  </si>
  <si>
    <t>Plate_1_G5</t>
  </si>
  <si>
    <t>lib30435</t>
  </si>
  <si>
    <t>G05</t>
  </si>
  <si>
    <t>40_116945054</t>
  </si>
  <si>
    <t>S56775</t>
  </si>
  <si>
    <t>tRNA30223</t>
  </si>
  <si>
    <t>grRNA6944</t>
  </si>
  <si>
    <t>cDNA36655</t>
  </si>
  <si>
    <t>Plate_1_H5</t>
  </si>
  <si>
    <t>lib30436</t>
  </si>
  <si>
    <t>H05</t>
  </si>
  <si>
    <t>41_116945046</t>
  </si>
  <si>
    <t>S56776</t>
  </si>
  <si>
    <t>tRNA30224</t>
  </si>
  <si>
    <t>grRNA6945</t>
  </si>
  <si>
    <t>cDNA36656</t>
  </si>
  <si>
    <t>Plate_1_A6</t>
  </si>
  <si>
    <t>lib30437</t>
  </si>
  <si>
    <t>A06</t>
  </si>
  <si>
    <t>N722</t>
  </si>
  <si>
    <t>ATGCGCAG</t>
  </si>
  <si>
    <t>42_112805729</t>
  </si>
  <si>
    <t>S56777</t>
  </si>
  <si>
    <t>tRNA30225</t>
  </si>
  <si>
    <t>grRNA6946</t>
  </si>
  <si>
    <t>cDNA36657</t>
  </si>
  <si>
    <t>Plate_1_B6</t>
  </si>
  <si>
    <t>lib30438</t>
  </si>
  <si>
    <t>B06</t>
  </si>
  <si>
    <t>43_112820276</t>
  </si>
  <si>
    <t>S56778</t>
  </si>
  <si>
    <t>tRNA30226</t>
  </si>
  <si>
    <t>grRNA6947</t>
  </si>
  <si>
    <t>cDNA36658</t>
  </si>
  <si>
    <t>Plate_1_C6</t>
  </si>
  <si>
    <t>lib30439</t>
  </si>
  <si>
    <t>C06</t>
  </si>
  <si>
    <t>44_131693881</t>
  </si>
  <si>
    <t>S56779</t>
  </si>
  <si>
    <t>tRNA30227</t>
  </si>
  <si>
    <t>grRNA6948</t>
  </si>
  <si>
    <t>cDNA36659</t>
  </si>
  <si>
    <t>Plate_1_D6</t>
  </si>
  <si>
    <t>lib30440</t>
  </si>
  <si>
    <t>D06</t>
  </si>
  <si>
    <t>45_131693882</t>
  </si>
  <si>
    <t>S56780</t>
  </si>
  <si>
    <t>tRNA30228</t>
  </si>
  <si>
    <t>grRNA6949</t>
  </si>
  <si>
    <t>cDNA36660</t>
  </si>
  <si>
    <t>Plate_1_E6</t>
  </si>
  <si>
    <t>lib30441</t>
  </si>
  <si>
    <t>E06</t>
  </si>
  <si>
    <t>46_1052611687</t>
  </si>
  <si>
    <t>S56781</t>
  </si>
  <si>
    <t>tRNA30229</t>
  </si>
  <si>
    <t>grRNA6950</t>
  </si>
  <si>
    <t>cDNA36661</t>
  </si>
  <si>
    <t>Plate_1_F6</t>
  </si>
  <si>
    <t>lib30442</t>
  </si>
  <si>
    <t>F06</t>
  </si>
  <si>
    <t>47_1052611683</t>
  </si>
  <si>
    <t>S56782</t>
  </si>
  <si>
    <t>tRNA30230</t>
  </si>
  <si>
    <t>grRNA6951</t>
  </si>
  <si>
    <t>cDNA36662</t>
  </si>
  <si>
    <t>Plate_1_G6</t>
  </si>
  <si>
    <t>lib30443</t>
  </si>
  <si>
    <t>G06</t>
  </si>
  <si>
    <t>48_1052609441</t>
  </si>
  <si>
    <t>S56783</t>
  </si>
  <si>
    <t>tRNA30231</t>
  </si>
  <si>
    <t>grRNA6952</t>
  </si>
  <si>
    <t>cDNA36663</t>
  </si>
  <si>
    <t>Plate_1_H6</t>
  </si>
  <si>
    <t>lib30444</t>
  </si>
  <si>
    <t>H06</t>
  </si>
  <si>
    <t>49_112834022</t>
  </si>
  <si>
    <t>S56784</t>
  </si>
  <si>
    <t>tRNA30232</t>
  </si>
  <si>
    <t>grRNA6953</t>
  </si>
  <si>
    <t>cDNA36664</t>
  </si>
  <si>
    <t>Plate_1_A7</t>
  </si>
  <si>
    <t>lib30445</t>
  </si>
  <si>
    <t>A07</t>
  </si>
  <si>
    <t>N723</t>
  </si>
  <si>
    <t>TAGCGCTC</t>
  </si>
  <si>
    <t>50_112834975</t>
  </si>
  <si>
    <t>S56785</t>
  </si>
  <si>
    <t>tRNA30233</t>
  </si>
  <si>
    <t>grRNA6954</t>
  </si>
  <si>
    <t>cDNA36665</t>
  </si>
  <si>
    <t>Plate_1_B7</t>
  </si>
  <si>
    <t>lib30446</t>
  </si>
  <si>
    <t>B07</t>
  </si>
  <si>
    <t>51_112834137</t>
  </si>
  <si>
    <t>S56786</t>
  </si>
  <si>
    <t>tRNA30234</t>
  </si>
  <si>
    <t>grRNA6955</t>
  </si>
  <si>
    <t>cDNA36666</t>
  </si>
  <si>
    <t>Plate_1_C7</t>
  </si>
  <si>
    <t>lib30447</t>
  </si>
  <si>
    <t>C07</t>
  </si>
  <si>
    <t>52_138996220</t>
  </si>
  <si>
    <t>S56787</t>
  </si>
  <si>
    <t>tRNA30235</t>
  </si>
  <si>
    <t>grRNA6956</t>
  </si>
  <si>
    <t>cDNA36667</t>
  </si>
  <si>
    <t>Plate_1_D7</t>
  </si>
  <si>
    <t>lib30448</t>
  </si>
  <si>
    <t>D07</t>
  </si>
  <si>
    <t>53_112861169</t>
  </si>
  <si>
    <t>S56788</t>
  </si>
  <si>
    <t>tRNA30236</t>
  </si>
  <si>
    <t>grRNA6957</t>
  </si>
  <si>
    <t>cDNA36668</t>
  </si>
  <si>
    <t>Plate_1_E7</t>
  </si>
  <si>
    <t>lib30449</t>
  </si>
  <si>
    <t>E07</t>
  </si>
  <si>
    <t>54_116948972</t>
  </si>
  <si>
    <t>S56789</t>
  </si>
  <si>
    <t>tRNA30237</t>
  </si>
  <si>
    <t>grRNA6958</t>
  </si>
  <si>
    <t>cDNA36669</t>
  </si>
  <si>
    <t>Plate_1_F7</t>
  </si>
  <si>
    <t>lib30450</t>
  </si>
  <si>
    <t>F07</t>
  </si>
  <si>
    <t>55_1087135712</t>
  </si>
  <si>
    <t>S56790</t>
  </si>
  <si>
    <t>tRNA30238</t>
  </si>
  <si>
    <t>grRNA6959</t>
  </si>
  <si>
    <t>cDNA36670</t>
  </si>
  <si>
    <t>Plate_1_G7</t>
  </si>
  <si>
    <t>lib30451</t>
  </si>
  <si>
    <t>G07</t>
  </si>
  <si>
    <t>56_126684913</t>
  </si>
  <si>
    <t>S56791</t>
  </si>
  <si>
    <t>tRNA30239</t>
  </si>
  <si>
    <t>grRNA6960</t>
  </si>
  <si>
    <t>cDNA36671</t>
  </si>
  <si>
    <t>Plate_1_H7</t>
  </si>
  <si>
    <t>lib30452</t>
  </si>
  <si>
    <t>H07</t>
  </si>
  <si>
    <t>57_126664933</t>
  </si>
  <si>
    <t>S56792</t>
  </si>
  <si>
    <t>tRNA30240</t>
  </si>
  <si>
    <t>grRNA6961</t>
  </si>
  <si>
    <t>cDNA36672</t>
  </si>
  <si>
    <t>Plate_1_A8</t>
  </si>
  <si>
    <t>lib30453</t>
  </si>
  <si>
    <t>A08</t>
  </si>
  <si>
    <t>N724</t>
  </si>
  <si>
    <t>ACTGAGCG</t>
  </si>
  <si>
    <t>58_126685470</t>
  </si>
  <si>
    <t>S56793</t>
  </si>
  <si>
    <t>tRNA30241</t>
  </si>
  <si>
    <t>grRNA6962</t>
  </si>
  <si>
    <t>cDNA36673</t>
  </si>
  <si>
    <t>Plate_1_B8</t>
  </si>
  <si>
    <t>lib30454</t>
  </si>
  <si>
    <t>B08</t>
  </si>
  <si>
    <t>59_126666343</t>
  </si>
  <si>
    <t>S56794</t>
  </si>
  <si>
    <t>tRNA30242</t>
  </si>
  <si>
    <t>grRNA6963</t>
  </si>
  <si>
    <t>cDNA36674</t>
  </si>
  <si>
    <t>Plate_1_C8</t>
  </si>
  <si>
    <t>lib30455</t>
  </si>
  <si>
    <t>C08</t>
  </si>
  <si>
    <t>60_126674926</t>
  </si>
  <si>
    <t>S56795</t>
  </si>
  <si>
    <t>tRNA30243</t>
  </si>
  <si>
    <t>grRNA6964</t>
  </si>
  <si>
    <t>cDNA36675</t>
  </si>
  <si>
    <t>Plate_1_D8</t>
  </si>
  <si>
    <t>lib30456</t>
  </si>
  <si>
    <t>D08</t>
  </si>
  <si>
    <t>61_126674918</t>
  </si>
  <si>
    <t>S56796</t>
  </si>
  <si>
    <t>tRNA30244</t>
  </si>
  <si>
    <t>grRNA6965</t>
  </si>
  <si>
    <t>cDNA36676</t>
  </si>
  <si>
    <t>Plate_1_E8</t>
  </si>
  <si>
    <t>lib30457</t>
  </si>
  <si>
    <t>E08</t>
  </si>
  <si>
    <t>62_126674909</t>
  </si>
  <si>
    <t>S56797</t>
  </si>
  <si>
    <t>tRNA30245</t>
  </si>
  <si>
    <t>grRNA6966</t>
  </si>
  <si>
    <t>cDNA36677</t>
  </si>
  <si>
    <t>Plate_1_F8</t>
  </si>
  <si>
    <t>lib30458</t>
  </si>
  <si>
    <t>F08</t>
  </si>
  <si>
    <t>63_158665045</t>
  </si>
  <si>
    <t>S56798</t>
  </si>
  <si>
    <t>tRNA30246</t>
  </si>
  <si>
    <t>grRNA6967</t>
  </si>
  <si>
    <t>cDNA36678</t>
  </si>
  <si>
    <t>Plate_1_G8</t>
  </si>
  <si>
    <t>lib30459</t>
  </si>
  <si>
    <t>G08</t>
  </si>
  <si>
    <t>64_158694765</t>
  </si>
  <si>
    <t>S56799</t>
  </si>
  <si>
    <t>tRNA30247</t>
  </si>
  <si>
    <t>grRNA6968</t>
  </si>
  <si>
    <t>cDNA36679</t>
  </si>
  <si>
    <t>Plate_1_H8</t>
  </si>
  <si>
    <t>lib30460</t>
  </si>
  <si>
    <t>H08</t>
  </si>
  <si>
    <t>65_158694762</t>
  </si>
  <si>
    <t>S56800</t>
  </si>
  <si>
    <t>tRNA30248</t>
  </si>
  <si>
    <t>grRNA6969</t>
  </si>
  <si>
    <t>cDNA36680</t>
  </si>
  <si>
    <t>Plate_1_A9</t>
  </si>
  <si>
    <t>lib30461</t>
  </si>
  <si>
    <t>A09</t>
  </si>
  <si>
    <t>N726</t>
  </si>
  <si>
    <t>CCTAAGAC</t>
  </si>
  <si>
    <t>66_TNY4713</t>
  </si>
  <si>
    <t>S56801</t>
  </si>
  <si>
    <t>tRNA30249</t>
  </si>
  <si>
    <t>grRNA6970</t>
  </si>
  <si>
    <t>cDNA36681</t>
  </si>
  <si>
    <t>Plate_2_A1</t>
  </si>
  <si>
    <t>Plate_2</t>
  </si>
  <si>
    <t>lib30462</t>
  </si>
  <si>
    <t>1/2 Volume NexteraXT Set C</t>
  </si>
  <si>
    <t>N701</t>
  </si>
  <si>
    <t>TAAGGCGA</t>
  </si>
  <si>
    <t>S513</t>
  </si>
  <si>
    <t>TCGACTAG</t>
  </si>
  <si>
    <t>67_TNY5RWH</t>
  </si>
  <si>
    <t>S56802</t>
  </si>
  <si>
    <t>tRNA30250</t>
  </si>
  <si>
    <t>grRNA6971</t>
  </si>
  <si>
    <t>cDNA36682</t>
  </si>
  <si>
    <t>Plate_2_B1</t>
  </si>
  <si>
    <t>lib30463</t>
  </si>
  <si>
    <t>S515</t>
  </si>
  <si>
    <t>TTCTAGCT</t>
  </si>
  <si>
    <t>68_TNY6N6L</t>
  </si>
  <si>
    <t>S56803</t>
  </si>
  <si>
    <t>tRNA30251</t>
  </si>
  <si>
    <t>grRNA6972</t>
  </si>
  <si>
    <t>cDNA36683</t>
  </si>
  <si>
    <t>Plate_2_C1</t>
  </si>
  <si>
    <t>lib30464</t>
  </si>
  <si>
    <t>S516</t>
  </si>
  <si>
    <t>CCTAGAGT</t>
  </si>
  <si>
    <t>69_TNY6N6C</t>
  </si>
  <si>
    <t>S56804</t>
  </si>
  <si>
    <t>tRNA30252</t>
  </si>
  <si>
    <t>grRNA6973</t>
  </si>
  <si>
    <t>cDNA36684</t>
  </si>
  <si>
    <t>Plate_2_D1</t>
  </si>
  <si>
    <t>lib30465</t>
  </si>
  <si>
    <t>S517</t>
  </si>
  <si>
    <t>GCGTAAGA</t>
  </si>
  <si>
    <t>70_TNY2PRC</t>
  </si>
  <si>
    <t>S56805</t>
  </si>
  <si>
    <t>tRNA30253</t>
  </si>
  <si>
    <t>grRNA6974</t>
  </si>
  <si>
    <t>cDNA36685</t>
  </si>
  <si>
    <t>Plate_2_E1</t>
  </si>
  <si>
    <t>lib30466</t>
  </si>
  <si>
    <t>S518</t>
  </si>
  <si>
    <t>CTATTAAG</t>
  </si>
  <si>
    <t>71_TNY2PP1</t>
  </si>
  <si>
    <t>S56806</t>
  </si>
  <si>
    <t>tRNA30254</t>
  </si>
  <si>
    <t>grRNA6975</t>
  </si>
  <si>
    <t>cDNA36686</t>
  </si>
  <si>
    <t>Plate_2_F1</t>
  </si>
  <si>
    <t>lib30467</t>
  </si>
  <si>
    <t>S520</t>
  </si>
  <si>
    <t>AAGGCTAT</t>
  </si>
  <si>
    <t>72_TN55KM</t>
  </si>
  <si>
    <t>S56807</t>
  </si>
  <si>
    <t>tRNA30255</t>
  </si>
  <si>
    <t>grRNA6976</t>
  </si>
  <si>
    <t>cDNA36687</t>
  </si>
  <si>
    <t>Plate_2_G1</t>
  </si>
  <si>
    <t>lib30468</t>
  </si>
  <si>
    <t>S521</t>
  </si>
  <si>
    <t>GAGCCTTA</t>
  </si>
  <si>
    <t>73_TNY5CJL</t>
  </si>
  <si>
    <t>S56808</t>
  </si>
  <si>
    <t>tRNA30256</t>
  </si>
  <si>
    <t>grRNA6977</t>
  </si>
  <si>
    <t>cDNA36688</t>
  </si>
  <si>
    <t>Plate_2_H1</t>
  </si>
  <si>
    <t>lib30469</t>
  </si>
  <si>
    <t>S522</t>
  </si>
  <si>
    <t>TTATGCGA</t>
  </si>
  <si>
    <t>74_TNY0HKY</t>
  </si>
  <si>
    <t>S56809</t>
  </si>
  <si>
    <t>tRNA30257</t>
  </si>
  <si>
    <t>grRNA6978</t>
  </si>
  <si>
    <t>cDNA36689</t>
  </si>
  <si>
    <t>Plate_2_A2</t>
  </si>
  <si>
    <t>lib30470</t>
  </si>
  <si>
    <t>N702</t>
  </si>
  <si>
    <t>CGTACTAG</t>
  </si>
  <si>
    <t>75_TNY8G5A</t>
  </si>
  <si>
    <t>S56810</t>
  </si>
  <si>
    <t>tRNA30258</t>
  </si>
  <si>
    <t>grRNA6979</t>
  </si>
  <si>
    <t>cDNA36690</t>
  </si>
  <si>
    <t>Plate_2_B2</t>
  </si>
  <si>
    <t>lib30471</t>
  </si>
  <si>
    <t>76_TNY99G5</t>
  </si>
  <si>
    <t>S56811</t>
  </si>
  <si>
    <t>tRNA30259</t>
  </si>
  <si>
    <t>grRNA6980</t>
  </si>
  <si>
    <t>cDNA36691</t>
  </si>
  <si>
    <t>Plate_2_C2</t>
  </si>
  <si>
    <t>lib30472</t>
  </si>
  <si>
    <t>77_TNY99G9</t>
  </si>
  <si>
    <t>S56812</t>
  </si>
  <si>
    <t>tRNA30260</t>
  </si>
  <si>
    <t>grRNA6981</t>
  </si>
  <si>
    <t>cDNA36692</t>
  </si>
  <si>
    <t>Plate_2_D2</t>
  </si>
  <si>
    <t>lib30473</t>
  </si>
  <si>
    <t>78_TNY24CP</t>
  </si>
  <si>
    <t>S56813</t>
  </si>
  <si>
    <t>tRNA30261</t>
  </si>
  <si>
    <t>grRNA6982</t>
  </si>
  <si>
    <t>cDNA36693</t>
  </si>
  <si>
    <t>Plate_2_E2</t>
  </si>
  <si>
    <t>lib30474</t>
  </si>
  <si>
    <t>79_TNYA951</t>
  </si>
  <si>
    <t>S56814</t>
  </si>
  <si>
    <t>tRNA30262</t>
  </si>
  <si>
    <t>grRNA6983</t>
  </si>
  <si>
    <t>cDNA36694</t>
  </si>
  <si>
    <t>Plate_2_F2</t>
  </si>
  <si>
    <t>lib30475</t>
  </si>
  <si>
    <t>80_TNYAPWV</t>
  </si>
  <si>
    <t>S56815</t>
  </si>
  <si>
    <t>tRNA30263</t>
  </si>
  <si>
    <t>grRNA6984</t>
  </si>
  <si>
    <t>cDNA36695</t>
  </si>
  <si>
    <t>Plate_2_G2</t>
  </si>
  <si>
    <t>lib30476</t>
  </si>
  <si>
    <t>81_TNYA4GR</t>
  </si>
  <si>
    <t>S56816</t>
  </si>
  <si>
    <t>tRNA30264</t>
  </si>
  <si>
    <t>grRNA6985</t>
  </si>
  <si>
    <t>cDNA36696</t>
  </si>
  <si>
    <t>Plate_2_H2</t>
  </si>
  <si>
    <t>lib30477</t>
  </si>
  <si>
    <t>82_TNY9GC5</t>
  </si>
  <si>
    <t>S56817</t>
  </si>
  <si>
    <t>tRNA30265</t>
  </si>
  <si>
    <t>grRNA6986</t>
  </si>
  <si>
    <t>cDNA36697</t>
  </si>
  <si>
    <t>Plate_2_A3</t>
  </si>
  <si>
    <t>lib30478</t>
  </si>
  <si>
    <t>N703</t>
  </si>
  <si>
    <t>AGGCAGAA</t>
  </si>
  <si>
    <t>83_TNYCG5V</t>
  </si>
  <si>
    <t>S56818</t>
  </si>
  <si>
    <t>tRNA30266</t>
  </si>
  <si>
    <t>grRNA6987</t>
  </si>
  <si>
    <t>cDNA36698</t>
  </si>
  <si>
    <t>Plate_2_B3</t>
  </si>
  <si>
    <t>lib30479</t>
  </si>
  <si>
    <t>84_TNY961W</t>
  </si>
  <si>
    <t>S56819</t>
  </si>
  <si>
    <t>tRNA30267</t>
  </si>
  <si>
    <t>grRNA6988</t>
  </si>
  <si>
    <t>cDNA36699</t>
  </si>
  <si>
    <t>Plate_2_C3</t>
  </si>
  <si>
    <t>lib30480</t>
  </si>
  <si>
    <t>85_TNY9LKU</t>
  </si>
  <si>
    <t>S56820</t>
  </si>
  <si>
    <t>tRNA30268</t>
  </si>
  <si>
    <t>grRNA6989</t>
  </si>
  <si>
    <t>cDNA36700</t>
  </si>
  <si>
    <t>Plate_2_D3</t>
  </si>
  <si>
    <t>lib30481</t>
  </si>
  <si>
    <t>86_TNYAU4P</t>
  </si>
  <si>
    <t>S56821</t>
  </si>
  <si>
    <t>tRNA30269</t>
  </si>
  <si>
    <t>grRNA6990</t>
  </si>
  <si>
    <t>cDNA36701</t>
  </si>
  <si>
    <t>Plate_2_E3</t>
  </si>
  <si>
    <t>lib30482</t>
  </si>
  <si>
    <t>87_TNY8CR4</t>
  </si>
  <si>
    <t>S56822</t>
  </si>
  <si>
    <t>tRNA30270</t>
  </si>
  <si>
    <t>grRNA6991</t>
  </si>
  <si>
    <t>cDNA36702</t>
  </si>
  <si>
    <t>Plate_2_F3</t>
  </si>
  <si>
    <t>lib30483</t>
  </si>
  <si>
    <t>88_TNY8HHW</t>
  </si>
  <si>
    <t>S56823</t>
  </si>
  <si>
    <t>tRNA30271</t>
  </si>
  <si>
    <t>grRNA6992</t>
  </si>
  <si>
    <t>cDNA36703</t>
  </si>
  <si>
    <t>Plate_2_G3</t>
  </si>
  <si>
    <t>lib30484</t>
  </si>
  <si>
    <t>89_TNYGKV9</t>
  </si>
  <si>
    <t>S56824</t>
  </si>
  <si>
    <t>tRNA30272</t>
  </si>
  <si>
    <t>grRNA6993</t>
  </si>
  <si>
    <t>cDNA36704</t>
  </si>
  <si>
    <t>Plate_2_H3</t>
  </si>
  <si>
    <t>lib30485</t>
  </si>
  <si>
    <t>90_TNYHPHY</t>
  </si>
  <si>
    <t>S56825</t>
  </si>
  <si>
    <t>tRNA30273</t>
  </si>
  <si>
    <t>grRNA6994</t>
  </si>
  <si>
    <t>cDNA36705</t>
  </si>
  <si>
    <t>Plate_2_A4</t>
  </si>
  <si>
    <t>lib30486</t>
  </si>
  <si>
    <t>N704</t>
  </si>
  <si>
    <t>TCCTGAGC</t>
  </si>
  <si>
    <t>91_TNYJ9RH</t>
  </si>
  <si>
    <t>S56826</t>
  </si>
  <si>
    <t>tRNA30274</t>
  </si>
  <si>
    <t>grRNA6995</t>
  </si>
  <si>
    <t>cDNA36706</t>
  </si>
  <si>
    <t>Plate_2_B4</t>
  </si>
  <si>
    <t>lib30487</t>
  </si>
  <si>
    <t>92_TNY9730</t>
  </si>
  <si>
    <t>S56827</t>
  </si>
  <si>
    <t>tRNA30275</t>
  </si>
  <si>
    <t>grRNA6996</t>
  </si>
  <si>
    <t>cDNA36707</t>
  </si>
  <si>
    <t>Plate_2_C4</t>
  </si>
  <si>
    <t>lib30488</t>
  </si>
  <si>
    <t>93_123528941</t>
  </si>
  <si>
    <t>S56828</t>
  </si>
  <si>
    <t>tRNA30276</t>
  </si>
  <si>
    <t>grRNA6997</t>
  </si>
  <si>
    <t>cDNA36708</t>
  </si>
  <si>
    <t>Plate_2_D4</t>
  </si>
  <si>
    <t>lib30489</t>
  </si>
  <si>
    <t>94_116939560</t>
  </si>
  <si>
    <t>S56829</t>
  </si>
  <si>
    <t>tRNA30277</t>
  </si>
  <si>
    <t>grRNA6998</t>
  </si>
  <si>
    <t>cDNA36709</t>
  </si>
  <si>
    <t>Plate_2_E4</t>
  </si>
  <si>
    <t>lib30490</t>
  </si>
  <si>
    <t>95_116939552</t>
  </si>
  <si>
    <t>S56830</t>
  </si>
  <si>
    <t>tRNA30278</t>
  </si>
  <si>
    <t>grRNA6999</t>
  </si>
  <si>
    <t>cDNA36710</t>
  </si>
  <si>
    <t>Plate_2_F4</t>
  </si>
  <si>
    <t>lib30491</t>
  </si>
  <si>
    <t>96_98870715</t>
  </si>
  <si>
    <t>S56831</t>
  </si>
  <si>
    <t>tRNA30279</t>
  </si>
  <si>
    <t>grRNA7000</t>
  </si>
  <si>
    <t>cDNA36711</t>
  </si>
  <si>
    <t>Plate_2_G4</t>
  </si>
  <si>
    <t>lib30492</t>
  </si>
  <si>
    <t>97_116941449</t>
  </si>
  <si>
    <t>S56832</t>
  </si>
  <si>
    <t>tRNA30280</t>
  </si>
  <si>
    <t>grRNA7001</t>
  </si>
  <si>
    <t>cDNA36712</t>
  </si>
  <si>
    <t>Plate_2_H4</t>
  </si>
  <si>
    <t>lib30493</t>
  </si>
  <si>
    <t>98_116941459</t>
  </si>
  <si>
    <t>S56833</t>
  </si>
  <si>
    <t>tRNA30281</t>
  </si>
  <si>
    <t>grRNA7002</t>
  </si>
  <si>
    <t>cDNA36713</t>
  </si>
  <si>
    <t>Plate_2_A5</t>
  </si>
  <si>
    <t>lib30494</t>
  </si>
  <si>
    <t>N705</t>
  </si>
  <si>
    <t>GGACTCCT</t>
  </si>
  <si>
    <t>99_116941460</t>
  </si>
  <si>
    <t>S56834</t>
  </si>
  <si>
    <t>tRNA30282</t>
  </si>
  <si>
    <t>grRNA7003</t>
  </si>
  <si>
    <t>cDNA36714</t>
  </si>
  <si>
    <t>Plate_2_B5</t>
  </si>
  <si>
    <t>lib30495</t>
  </si>
  <si>
    <t>100_116941995</t>
  </si>
  <si>
    <t>S56835</t>
  </si>
  <si>
    <t>tRNA30283</t>
  </si>
  <si>
    <t>grRNA7004</t>
  </si>
  <si>
    <t>cDNA36715</t>
  </si>
  <si>
    <t>Plate_2_C5</t>
  </si>
  <si>
    <t>lib30496</t>
  </si>
  <si>
    <t>101_116945069</t>
  </si>
  <si>
    <t>S56836</t>
  </si>
  <si>
    <t>tRNA30284</t>
  </si>
  <si>
    <t>grRNA7005</t>
  </si>
  <si>
    <t>cDNA36716</t>
  </si>
  <si>
    <t>Plate_2_D5</t>
  </si>
  <si>
    <t>lib30497</t>
  </si>
  <si>
    <t>102_116945073</t>
  </si>
  <si>
    <t>S56837</t>
  </si>
  <si>
    <t>tRNA30285</t>
  </si>
  <si>
    <t>grRNA7006</t>
  </si>
  <si>
    <t>cDNA36717</t>
  </si>
  <si>
    <t>Plate_2_E5</t>
  </si>
  <si>
    <t>lib30498</t>
  </si>
  <si>
    <t>103_116944737</t>
  </si>
  <si>
    <t>S56838</t>
  </si>
  <si>
    <t>tRNA30286</t>
  </si>
  <si>
    <t>grRNA7007</t>
  </si>
  <si>
    <t>cDNA36718</t>
  </si>
  <si>
    <t>Plate_2_F5</t>
  </si>
  <si>
    <t>lib30499</t>
  </si>
  <si>
    <t>104_116945057</t>
  </si>
  <si>
    <t>S56839</t>
  </si>
  <si>
    <t>tRNA30287</t>
  </si>
  <si>
    <t>grRNA7008</t>
  </si>
  <si>
    <t>cDNA36719</t>
  </si>
  <si>
    <t>Plate_2_G5</t>
  </si>
  <si>
    <t>lib30500</t>
  </si>
  <si>
    <t>105_116944712</t>
  </si>
  <si>
    <t>S56840</t>
  </si>
  <si>
    <t>tRNA30288</t>
  </si>
  <si>
    <t>grRNA7009</t>
  </si>
  <si>
    <t>cDNA36720</t>
  </si>
  <si>
    <t>Plate_2_H5</t>
  </si>
  <si>
    <t>lib30501</t>
  </si>
  <si>
    <t>106_119027593</t>
  </si>
  <si>
    <t>S56841</t>
  </si>
  <si>
    <t>tRNA30289</t>
  </si>
  <si>
    <t>grRNA7010</t>
  </si>
  <si>
    <t>cDNA36721</t>
  </si>
  <si>
    <t>Plate_2_A6</t>
  </si>
  <si>
    <t>lib30502</t>
  </si>
  <si>
    <t>N706</t>
  </si>
  <si>
    <t>TAGGCATG</t>
  </si>
  <si>
    <t>107_119039330</t>
  </si>
  <si>
    <t>S56842</t>
  </si>
  <si>
    <t>tRNA30290</t>
  </si>
  <si>
    <t>grRNA7011</t>
  </si>
  <si>
    <t>cDNA36722</t>
  </si>
  <si>
    <t>Plate_2_B6</t>
  </si>
  <si>
    <t>lib30503</t>
  </si>
  <si>
    <t>108_1052610807</t>
  </si>
  <si>
    <t>S56843</t>
  </si>
  <si>
    <t>tRNA30291</t>
  </si>
  <si>
    <t>grRNA7012</t>
  </si>
  <si>
    <t>cDNA36723</t>
  </si>
  <si>
    <t>Plate_2_C6</t>
  </si>
  <si>
    <t>lib30504</t>
  </si>
  <si>
    <t>109_1052610812</t>
  </si>
  <si>
    <t>S56844</t>
  </si>
  <si>
    <t>tRNA30292</t>
  </si>
  <si>
    <t>grRNA7013</t>
  </si>
  <si>
    <t>cDNA36724</t>
  </si>
  <si>
    <t>Plate_2_D6</t>
  </si>
  <si>
    <t>lib30505</t>
  </si>
  <si>
    <t>110_116944216</t>
  </si>
  <si>
    <t>S56845</t>
  </si>
  <si>
    <t>tRNA30293</t>
  </si>
  <si>
    <t>grRNA7014</t>
  </si>
  <si>
    <t>cDNA36725</t>
  </si>
  <si>
    <t>Plate_2_E6</t>
  </si>
  <si>
    <t>lib30506</t>
  </si>
  <si>
    <t>111_112834991</t>
  </si>
  <si>
    <t>S56846</t>
  </si>
  <si>
    <t>tRNA30294</t>
  </si>
  <si>
    <t>grRNA7015</t>
  </si>
  <si>
    <t>cDNA36726</t>
  </si>
  <si>
    <t>Plate_2_F6</t>
  </si>
  <si>
    <t>lib30507</t>
  </si>
  <si>
    <t>112_112860309</t>
  </si>
  <si>
    <t>S56847</t>
  </si>
  <si>
    <t>tRNA30295</t>
  </si>
  <si>
    <t>grRNA7016</t>
  </si>
  <si>
    <t>cDNA36727</t>
  </si>
  <si>
    <t>Plate_2_G6</t>
  </si>
  <si>
    <t>lib30508</t>
  </si>
  <si>
    <t>113_112832286</t>
  </si>
  <si>
    <t>S56848</t>
  </si>
  <si>
    <t>tRNA30296</t>
  </si>
  <si>
    <t>grRNA7017</t>
  </si>
  <si>
    <t>cDNA36728</t>
  </si>
  <si>
    <t>Plate_2_H6</t>
  </si>
  <si>
    <t>lib30509</t>
  </si>
  <si>
    <t>114_138997529</t>
  </si>
  <si>
    <t>S56849</t>
  </si>
  <si>
    <t>tRNA30297</t>
  </si>
  <si>
    <t>grRNA7018</t>
  </si>
  <si>
    <t>cDNA36729</t>
  </si>
  <si>
    <t>Plate_2_A7</t>
  </si>
  <si>
    <t>lib30510</t>
  </si>
  <si>
    <t>N707</t>
  </si>
  <si>
    <t>CTCTCTAC</t>
  </si>
  <si>
    <t>115_138998305</t>
  </si>
  <si>
    <t>S56850</t>
  </si>
  <si>
    <t>tRNA30298</t>
  </si>
  <si>
    <t>grRNA7019</t>
  </si>
  <si>
    <t>cDNA36730</t>
  </si>
  <si>
    <t>Plate_2_B7</t>
  </si>
  <si>
    <t>lib30511</t>
  </si>
  <si>
    <t>116_116948978</t>
  </si>
  <si>
    <t>S56851</t>
  </si>
  <si>
    <t>tRNA30299</t>
  </si>
  <si>
    <t>grRNA7020</t>
  </si>
  <si>
    <t>cDNA36731</t>
  </si>
  <si>
    <t>Plate_2_C7</t>
  </si>
  <si>
    <t>lib30512</t>
  </si>
  <si>
    <t>117_158663024</t>
  </si>
  <si>
    <t>S56852</t>
  </si>
  <si>
    <t>tRNA30300</t>
  </si>
  <si>
    <t>grRNA7021</t>
  </si>
  <si>
    <t>cDNA36732</t>
  </si>
  <si>
    <t>Plate_2_D7</t>
  </si>
  <si>
    <t>lib30513</t>
  </si>
  <si>
    <t>118_116941793</t>
  </si>
  <si>
    <t>S56853</t>
  </si>
  <si>
    <t>tRNA30301</t>
  </si>
  <si>
    <t>grRNA7022</t>
  </si>
  <si>
    <t>cDNA36733</t>
  </si>
  <si>
    <t>Plate_2_E7</t>
  </si>
  <si>
    <t>lib30514</t>
  </si>
  <si>
    <t>119_158675055</t>
  </si>
  <si>
    <t>S56854</t>
  </si>
  <si>
    <t>tRNA30302</t>
  </si>
  <si>
    <t>grRNA7023</t>
  </si>
  <si>
    <t>cDNA36734</t>
  </si>
  <si>
    <t>Plate_2_F7</t>
  </si>
  <si>
    <t>lib30515</t>
  </si>
  <si>
    <t>120_158675046</t>
  </si>
  <si>
    <t>S56855</t>
  </si>
  <si>
    <t>tRNA30303</t>
  </si>
  <si>
    <t>grRNA7024</t>
  </si>
  <si>
    <t>cDNA36735</t>
  </si>
  <si>
    <t>Plate_2_G7</t>
  </si>
  <si>
    <t>lib30516</t>
  </si>
  <si>
    <t>121_1087136175</t>
  </si>
  <si>
    <t>S56856</t>
  </si>
  <si>
    <t>tRNA30304</t>
  </si>
  <si>
    <t>grRNA7025</t>
  </si>
  <si>
    <t>cDNA36736</t>
  </si>
  <si>
    <t>Plate_2_H7</t>
  </si>
  <si>
    <t>lib30517</t>
  </si>
  <si>
    <t>122_126684920</t>
  </si>
  <si>
    <t>S56857</t>
  </si>
  <si>
    <t>tRNA30305</t>
  </si>
  <si>
    <t>grRNA7026</t>
  </si>
  <si>
    <t>cDNA36737</t>
  </si>
  <si>
    <t>Plate_2_A8</t>
  </si>
  <si>
    <t>lib30518</t>
  </si>
  <si>
    <t>N710</t>
  </si>
  <si>
    <t>CGAGGCTG</t>
  </si>
  <si>
    <t>123_126665852</t>
  </si>
  <si>
    <t>S56858</t>
  </si>
  <si>
    <t>tRNA30306</t>
  </si>
  <si>
    <t>grRNA7027</t>
  </si>
  <si>
    <t>cDNA36738</t>
  </si>
  <si>
    <t>Plate_2_B8</t>
  </si>
  <si>
    <t>lib30519</t>
  </si>
  <si>
    <t>124_126665850</t>
  </si>
  <si>
    <t>S56859</t>
  </si>
  <si>
    <t>tRNA30307</t>
  </si>
  <si>
    <t>grRNA7028</t>
  </si>
  <si>
    <t>cDNA36739</t>
  </si>
  <si>
    <t>Plate_2_C8</t>
  </si>
  <si>
    <t>lib30520</t>
  </si>
  <si>
    <t>125_126679636</t>
  </si>
  <si>
    <t>S56860</t>
  </si>
  <si>
    <t>tRNA30308</t>
  </si>
  <si>
    <t>grRNA7029</t>
  </si>
  <si>
    <t>cDNA36740</t>
  </si>
  <si>
    <t>Plate_2_D8</t>
  </si>
  <si>
    <t>lib30521</t>
  </si>
  <si>
    <t>126_126679638</t>
  </si>
  <si>
    <t>S56861</t>
  </si>
  <si>
    <t>tRNA30309</t>
  </si>
  <si>
    <t>grRNA7030</t>
  </si>
  <si>
    <t>cDNA36741</t>
  </si>
  <si>
    <t>Plate_2_E8</t>
  </si>
  <si>
    <t>lib30522</t>
  </si>
  <si>
    <t>127_126679597</t>
  </si>
  <si>
    <t>S56862</t>
  </si>
  <si>
    <t>tRNA30310</t>
  </si>
  <si>
    <t>grRNA7031</t>
  </si>
  <si>
    <t>cDNA36742</t>
  </si>
  <si>
    <t>Plate_2_F8</t>
  </si>
  <si>
    <t>lib30523</t>
  </si>
  <si>
    <t>128_126685482</t>
  </si>
  <si>
    <t>S56863</t>
  </si>
  <si>
    <t>tRNA30311</t>
  </si>
  <si>
    <t>grRNA7032</t>
  </si>
  <si>
    <t>cDNA36743</t>
  </si>
  <si>
    <t>Plate_2_G8</t>
  </si>
  <si>
    <t>lib30524</t>
  </si>
  <si>
    <t>129_126665120</t>
  </si>
  <si>
    <t>S56864</t>
  </si>
  <si>
    <t>tRNA30312</t>
  </si>
  <si>
    <t>grRNA7033</t>
  </si>
  <si>
    <t>cDNA36744</t>
  </si>
  <si>
    <t>Plate_2_H8</t>
  </si>
  <si>
    <t>lib30525</t>
  </si>
  <si>
    <t>130_126665091</t>
  </si>
  <si>
    <t>S56865</t>
  </si>
  <si>
    <t>tRNA30313</t>
  </si>
  <si>
    <t>grRNA7034</t>
  </si>
  <si>
    <t>cDNA36745</t>
  </si>
  <si>
    <t>Plate_2_A9</t>
  </si>
  <si>
    <t>lib30526</t>
  </si>
  <si>
    <t>N711</t>
  </si>
  <si>
    <t>AAGAGGCA</t>
  </si>
  <si>
    <t>131_158665047</t>
  </si>
  <si>
    <t>S56866</t>
  </si>
  <si>
    <t>tRNA30314</t>
  </si>
  <si>
    <t>grRNA7035</t>
  </si>
  <si>
    <t>cDNA36746</t>
  </si>
  <si>
    <t>Plate_2_B9</t>
  </si>
  <si>
    <t>lib30527</t>
  </si>
  <si>
    <t>B09</t>
  </si>
  <si>
    <t>132_158665350</t>
  </si>
  <si>
    <t>S56867</t>
  </si>
  <si>
    <t>tRNA30315</t>
  </si>
  <si>
    <t>grRNA7036</t>
  </si>
  <si>
    <t>cDNA36747</t>
  </si>
  <si>
    <t>Plate_2_C9</t>
  </si>
  <si>
    <t>lib30528</t>
  </si>
  <si>
    <t>C09</t>
  </si>
  <si>
    <t>133_TNY55U1</t>
  </si>
  <si>
    <t>S56868</t>
  </si>
  <si>
    <t>tRNA30316</t>
  </si>
  <si>
    <t>grRNA7037</t>
  </si>
  <si>
    <t>cDNA36748</t>
  </si>
  <si>
    <t>Plate_3_A1</t>
  </si>
  <si>
    <t>Plate_3</t>
  </si>
  <si>
    <t>lib30529</t>
  </si>
  <si>
    <t>1/2 Volume NexteraXT Set D</t>
  </si>
  <si>
    <t>A1</t>
  </si>
  <si>
    <t>134_TNZLZP</t>
  </si>
  <si>
    <t>S56869</t>
  </si>
  <si>
    <t>tRNA30317</t>
  </si>
  <si>
    <t>grRNA7038</t>
  </si>
  <si>
    <t>cDNA36749</t>
  </si>
  <si>
    <t>Plate_3_B1</t>
  </si>
  <si>
    <t>lib30530</t>
  </si>
  <si>
    <t>B1</t>
  </si>
  <si>
    <t>135_TNY526R</t>
  </si>
  <si>
    <t>S56870</t>
  </si>
  <si>
    <t>tRNA30318</t>
  </si>
  <si>
    <t>grRNA7039</t>
  </si>
  <si>
    <t>cDNA36750</t>
  </si>
  <si>
    <t>Plate_3_C1</t>
  </si>
  <si>
    <t>lib30531</t>
  </si>
  <si>
    <t>C1</t>
  </si>
  <si>
    <t>136_TNY7RAX</t>
  </si>
  <si>
    <t>S56871</t>
  </si>
  <si>
    <t>tRNA30319</t>
  </si>
  <si>
    <t>grRNA7040</t>
  </si>
  <si>
    <t>cDNA36751</t>
  </si>
  <si>
    <t>Plate_3_D1</t>
  </si>
  <si>
    <t>lib30532</t>
  </si>
  <si>
    <t>D1</t>
  </si>
  <si>
    <t>137_TNY6RW7</t>
  </si>
  <si>
    <t>S56872</t>
  </si>
  <si>
    <t>tRNA30320</t>
  </si>
  <si>
    <t>grRNA7041</t>
  </si>
  <si>
    <t>cDNA36752</t>
  </si>
  <si>
    <t>Plate_3_E1</t>
  </si>
  <si>
    <t>lib30533</t>
  </si>
  <si>
    <t>E1</t>
  </si>
  <si>
    <t>138_TNY2PLW</t>
  </si>
  <si>
    <t>S56873</t>
  </si>
  <si>
    <t>tRNA30321</t>
  </si>
  <si>
    <t>grRNA7042</t>
  </si>
  <si>
    <t>cDNA36753</t>
  </si>
  <si>
    <t>Plate_3_F1</t>
  </si>
  <si>
    <t>lib30534</t>
  </si>
  <si>
    <t>F1</t>
  </si>
  <si>
    <t>139_TNY7T2V</t>
  </si>
  <si>
    <t>S56874</t>
  </si>
  <si>
    <t>tRNA30322</t>
  </si>
  <si>
    <t>grRNA7043</t>
  </si>
  <si>
    <t>cDNA36754</t>
  </si>
  <si>
    <t>Plate_3_G1</t>
  </si>
  <si>
    <t>lib30535</t>
  </si>
  <si>
    <t>G1</t>
  </si>
  <si>
    <t>140_TNY657W</t>
  </si>
  <si>
    <t>S56875</t>
  </si>
  <si>
    <t>tRNA30323</t>
  </si>
  <si>
    <t>grRNA7044</t>
  </si>
  <si>
    <t>cDNA36755</t>
  </si>
  <si>
    <t>Plate_3_H1</t>
  </si>
  <si>
    <t>lib30536</t>
  </si>
  <si>
    <t>H1</t>
  </si>
  <si>
    <t>141_TNY6M80</t>
  </si>
  <si>
    <t>S56876</t>
  </si>
  <si>
    <t>tRNA30324</t>
  </si>
  <si>
    <t>grRNA7045</t>
  </si>
  <si>
    <t>cDNA36756</t>
  </si>
  <si>
    <t>Plate_3_A2</t>
  </si>
  <si>
    <t>lib30537</t>
  </si>
  <si>
    <t>A2</t>
  </si>
  <si>
    <t>142_TNY873U</t>
  </si>
  <si>
    <t>S56877</t>
  </si>
  <si>
    <t>tRNA30325</t>
  </si>
  <si>
    <t>grRNA7046</t>
  </si>
  <si>
    <t>cDNA36757</t>
  </si>
  <si>
    <t>Plate_3_B2</t>
  </si>
  <si>
    <t>lib30538</t>
  </si>
  <si>
    <t>B2</t>
  </si>
  <si>
    <t>143_TNY5LY9</t>
  </si>
  <si>
    <t>S56878</t>
  </si>
  <si>
    <t>tRNA30326</t>
  </si>
  <si>
    <t>grRNA7047</t>
  </si>
  <si>
    <t>cDNA36758</t>
  </si>
  <si>
    <t>Plate_3_C2</t>
  </si>
  <si>
    <t>lib30539</t>
  </si>
  <si>
    <t>C2</t>
  </si>
  <si>
    <t>144_TNY8TAK</t>
  </si>
  <si>
    <t>S56879</t>
  </si>
  <si>
    <t>tRNA30327</t>
  </si>
  <si>
    <t>grRNA7048</t>
  </si>
  <si>
    <t>cDNA36759</t>
  </si>
  <si>
    <t>Plate_3_D2</t>
  </si>
  <si>
    <t>lib30540</t>
  </si>
  <si>
    <t>D2</t>
  </si>
  <si>
    <t>145_TNY991P</t>
  </si>
  <si>
    <t>S56880</t>
  </si>
  <si>
    <t>tRNA30328</t>
  </si>
  <si>
    <t>grRNA7049</t>
  </si>
  <si>
    <t>cDNA36760</t>
  </si>
  <si>
    <t>Plate_3_E2</t>
  </si>
  <si>
    <t>lib30541</t>
  </si>
  <si>
    <t>E2</t>
  </si>
  <si>
    <t>146_TNY97U7</t>
  </si>
  <si>
    <t>S56881</t>
  </si>
  <si>
    <t>tRNA30329</t>
  </si>
  <si>
    <t>grRNA7050</t>
  </si>
  <si>
    <t>cDNA36761</t>
  </si>
  <si>
    <t>Plate_3_F2</t>
  </si>
  <si>
    <t>lib30542</t>
  </si>
  <si>
    <t>F2</t>
  </si>
  <si>
    <t>147_TNY97TL</t>
  </si>
  <si>
    <t>S56882</t>
  </si>
  <si>
    <t>tRNA30330</t>
  </si>
  <si>
    <t>grRNA7051</t>
  </si>
  <si>
    <t>cDNA36762</t>
  </si>
  <si>
    <t>Plate_3_G2</t>
  </si>
  <si>
    <t>lib30543</t>
  </si>
  <si>
    <t>G2</t>
  </si>
  <si>
    <t>148_TNYAH49</t>
  </si>
  <si>
    <t>S56883</t>
  </si>
  <si>
    <t>tRNA30331</t>
  </si>
  <si>
    <t>grRNA7052</t>
  </si>
  <si>
    <t>cDNA36763</t>
  </si>
  <si>
    <t>Plate_3_H2</t>
  </si>
  <si>
    <t>lib30544</t>
  </si>
  <si>
    <t>H2</t>
  </si>
  <si>
    <t>149_TNY5CCG</t>
  </si>
  <si>
    <t>S56884</t>
  </si>
  <si>
    <t>tRNA30332</t>
  </si>
  <si>
    <t>grRNA7053</t>
  </si>
  <si>
    <t>cDNA36764</t>
  </si>
  <si>
    <t>Plate_3_A3</t>
  </si>
  <si>
    <t>lib30545</t>
  </si>
  <si>
    <t>A3</t>
  </si>
  <si>
    <t>150_TNYAAYX</t>
  </si>
  <si>
    <t>S56885</t>
  </si>
  <si>
    <t>tRNA30333</t>
  </si>
  <si>
    <t>grRNA7054</t>
  </si>
  <si>
    <t>cDNA36765</t>
  </si>
  <si>
    <t>Plate_3_B3</t>
  </si>
  <si>
    <t>lib30546</t>
  </si>
  <si>
    <t>B3</t>
  </si>
  <si>
    <t>151_TNYAPX6</t>
  </si>
  <si>
    <t>S56886</t>
  </si>
  <si>
    <t>tRNA30334</t>
  </si>
  <si>
    <t>grRNA7055</t>
  </si>
  <si>
    <t>cDNA36766</t>
  </si>
  <si>
    <t>Plate_3_C3</t>
  </si>
  <si>
    <t>lib30547</t>
  </si>
  <si>
    <t>C3</t>
  </si>
  <si>
    <t>152_TNY88U8</t>
  </si>
  <si>
    <t>S56887</t>
  </si>
  <si>
    <t>tRNA30335</t>
  </si>
  <si>
    <t>grRNA7056</t>
  </si>
  <si>
    <t>cDNA36767</t>
  </si>
  <si>
    <t>Plate_3_D3</t>
  </si>
  <si>
    <t>lib30548</t>
  </si>
  <si>
    <t>D3</t>
  </si>
  <si>
    <t>153_TNY8N6C</t>
  </si>
  <si>
    <t>S56888</t>
  </si>
  <si>
    <t>tRNA30336</t>
  </si>
  <si>
    <t>grRNA7057</t>
  </si>
  <si>
    <t>cDNA36768</t>
  </si>
  <si>
    <t>Plate_3_E3</t>
  </si>
  <si>
    <t>lib30549</t>
  </si>
  <si>
    <t>E3</t>
  </si>
  <si>
    <t>154_TNY9RHY</t>
  </si>
  <si>
    <t>S56889</t>
  </si>
  <si>
    <t>tRNA30337</t>
  </si>
  <si>
    <t>grRNA7058</t>
  </si>
  <si>
    <t>cDNA36769</t>
  </si>
  <si>
    <t>Plate_3_F3</t>
  </si>
  <si>
    <t>lib30550</t>
  </si>
  <si>
    <t>F3</t>
  </si>
  <si>
    <t>155_TNY8960</t>
  </si>
  <si>
    <t>S56890</t>
  </si>
  <si>
    <t>tRNA30338</t>
  </si>
  <si>
    <t>grRNA7059</t>
  </si>
  <si>
    <t>cDNA36770</t>
  </si>
  <si>
    <t>Plate_3_G3</t>
  </si>
  <si>
    <t>lib30551</t>
  </si>
  <si>
    <t>G3</t>
  </si>
  <si>
    <t>156_TNYA40Y</t>
  </si>
  <si>
    <t>S56891</t>
  </si>
  <si>
    <t>tRNA30339</t>
  </si>
  <si>
    <t>grRNA7060</t>
  </si>
  <si>
    <t>cDNA36771</t>
  </si>
  <si>
    <t>Plate_3_H3</t>
  </si>
  <si>
    <t>lib30552</t>
  </si>
  <si>
    <t>H3</t>
  </si>
  <si>
    <t>157_TNY9K3W</t>
  </si>
  <si>
    <t>S56892</t>
  </si>
  <si>
    <t>tRNA30340</t>
  </si>
  <si>
    <t>grRNA7061</t>
  </si>
  <si>
    <t>cDNA36772</t>
  </si>
  <si>
    <t>Plate_3_A4</t>
  </si>
  <si>
    <t>lib30553</t>
  </si>
  <si>
    <t>A4</t>
  </si>
  <si>
    <t>158_TNYG1WU</t>
  </si>
  <si>
    <t>S56893</t>
  </si>
  <si>
    <t>tRNA30341</t>
  </si>
  <si>
    <t>grRNA7062</t>
  </si>
  <si>
    <t>cDNA36773</t>
  </si>
  <si>
    <t>Plate_3_B4</t>
  </si>
  <si>
    <t>lib30554</t>
  </si>
  <si>
    <t>B4</t>
  </si>
  <si>
    <t>159_TNYA40R</t>
  </si>
  <si>
    <t>S56894</t>
  </si>
  <si>
    <t>tRNA30342</t>
  </si>
  <si>
    <t>grRNA7063</t>
  </si>
  <si>
    <t>cDNA36774</t>
  </si>
  <si>
    <t>Plate_3_C4</t>
  </si>
  <si>
    <t>lib30555</t>
  </si>
  <si>
    <t>C4</t>
  </si>
  <si>
    <t>160_TNYCC9X</t>
  </si>
  <si>
    <t>S56895</t>
  </si>
  <si>
    <t>tRNA30343</t>
  </si>
  <si>
    <t>grRNA7064</t>
  </si>
  <si>
    <t>cDNA36775</t>
  </si>
  <si>
    <t>Plate_3_D4</t>
  </si>
  <si>
    <t>lib30556</t>
  </si>
  <si>
    <t>D4</t>
  </si>
  <si>
    <t>161_TNYCNH9</t>
  </si>
  <si>
    <t>S56896</t>
  </si>
  <si>
    <t>tRNA30344</t>
  </si>
  <si>
    <t>grRNA7065</t>
  </si>
  <si>
    <t>cDNA36776</t>
  </si>
  <si>
    <t>Plate_3_E4</t>
  </si>
  <si>
    <t>lib30557</t>
  </si>
  <si>
    <t>E4</t>
  </si>
  <si>
    <t>162_TNYGA9P</t>
  </si>
  <si>
    <t>S56897</t>
  </si>
  <si>
    <t>tRNA30345</t>
  </si>
  <si>
    <t>grRNA7066</t>
  </si>
  <si>
    <t>cDNA36777</t>
  </si>
  <si>
    <t>Plate_3_F4</t>
  </si>
  <si>
    <t>lib30558</t>
  </si>
  <si>
    <t>F4</t>
  </si>
  <si>
    <t>163_TNYH76J</t>
  </si>
  <si>
    <t>S56898</t>
  </si>
  <si>
    <t>tRNA30346</t>
  </si>
  <si>
    <t>grRNA7067</t>
  </si>
  <si>
    <t>cDNA36778</t>
  </si>
  <si>
    <t>Plate_3_G4</t>
  </si>
  <si>
    <t>lib30559</t>
  </si>
  <si>
    <t>G4</t>
  </si>
  <si>
    <t>164_TNYCX37</t>
  </si>
  <si>
    <t>S56899</t>
  </si>
  <si>
    <t>tRNA30347</t>
  </si>
  <si>
    <t>grRNA7068</t>
  </si>
  <si>
    <t>cDNA36779</t>
  </si>
  <si>
    <t>Plate_3_H4</t>
  </si>
  <si>
    <t>lib30560</t>
  </si>
  <si>
    <t>H4</t>
  </si>
  <si>
    <t>165_123520675</t>
  </si>
  <si>
    <t>S56900</t>
  </si>
  <si>
    <t>tRNA30348</t>
  </si>
  <si>
    <t>grRNA7069</t>
  </si>
  <si>
    <t>cDNA36780</t>
  </si>
  <si>
    <t>Plate_3_A5</t>
  </si>
  <si>
    <t>lib30561</t>
  </si>
  <si>
    <t>A5</t>
  </si>
  <si>
    <t>166_112861136</t>
  </si>
  <si>
    <t>S56901</t>
  </si>
  <si>
    <t>tRNA30349</t>
  </si>
  <si>
    <t>grRNA7070</t>
  </si>
  <si>
    <t>cDNA36781</t>
  </si>
  <si>
    <t>Plate_3_B5</t>
  </si>
  <si>
    <t>lib30562</t>
  </si>
  <si>
    <t>B5</t>
  </si>
  <si>
    <t>167_116944726</t>
  </si>
  <si>
    <t>S56902</t>
  </si>
  <si>
    <t>tRNA30350</t>
  </si>
  <si>
    <t>grRNA7071</t>
  </si>
  <si>
    <t>cDNA36782</t>
  </si>
  <si>
    <t>Plate_3_C5</t>
  </si>
  <si>
    <t>lib30563</t>
  </si>
  <si>
    <t>C5</t>
  </si>
  <si>
    <t>168_116945045</t>
  </si>
  <si>
    <t>S56903</t>
  </si>
  <si>
    <t>tRNA30351</t>
  </si>
  <si>
    <t>grRNA7072</t>
  </si>
  <si>
    <t>cDNA36783</t>
  </si>
  <si>
    <t>Plate_3_D5</t>
  </si>
  <si>
    <t>lib30564</t>
  </si>
  <si>
    <t>D5</t>
  </si>
  <si>
    <t>169_116949106</t>
  </si>
  <si>
    <t>S56904</t>
  </si>
  <si>
    <t>tRNA30352</t>
  </si>
  <si>
    <t>grRNA7073</t>
  </si>
  <si>
    <t>cDNA36784</t>
  </si>
  <si>
    <t>Plate_3_E5</t>
  </si>
  <si>
    <t>lib30565</t>
  </si>
  <si>
    <t>E5</t>
  </si>
  <si>
    <t>170_1052610804</t>
  </si>
  <si>
    <t>S56905</t>
  </si>
  <si>
    <t>tRNA30353</t>
  </si>
  <si>
    <t>grRNA7074</t>
  </si>
  <si>
    <t>cDNA36785</t>
  </si>
  <si>
    <t>Plate_3_F5</t>
  </si>
  <si>
    <t>lib30566</t>
  </si>
  <si>
    <t>F5</t>
  </si>
  <si>
    <t>171_116943538</t>
  </si>
  <si>
    <t>S56906</t>
  </si>
  <si>
    <t>tRNA30354</t>
  </si>
  <si>
    <t>grRNA7075</t>
  </si>
  <si>
    <t>cDNA36786</t>
  </si>
  <si>
    <t>Plate_3_G5</t>
  </si>
  <si>
    <t>lib30567</t>
  </si>
  <si>
    <t>G5</t>
  </si>
  <si>
    <t>172_112835034</t>
  </si>
  <si>
    <t>S56907</t>
  </si>
  <si>
    <t>tRNA30355</t>
  </si>
  <si>
    <t>grRNA7076</t>
  </si>
  <si>
    <t>cDNA36787</t>
  </si>
  <si>
    <t>Plate_3_H5</t>
  </si>
  <si>
    <t>lib30568</t>
  </si>
  <si>
    <t>H5</t>
  </si>
  <si>
    <t>173_112834973</t>
  </si>
  <si>
    <t>S56908</t>
  </si>
  <si>
    <t>tRNA30356</t>
  </si>
  <si>
    <t>grRNA7077</t>
  </si>
  <si>
    <t>cDNA36788</t>
  </si>
  <si>
    <t>Plate_3_A6</t>
  </si>
  <si>
    <t>lib30569</t>
  </si>
  <si>
    <t>A6</t>
  </si>
  <si>
    <t>174_112860368</t>
  </si>
  <si>
    <t>S56909</t>
  </si>
  <si>
    <t>tRNA30357</t>
  </si>
  <si>
    <t>grRNA7078</t>
  </si>
  <si>
    <t>cDNA36789</t>
  </si>
  <si>
    <t>Plate_3_B6</t>
  </si>
  <si>
    <t>lib30570</t>
  </si>
  <si>
    <t>B6</t>
  </si>
  <si>
    <t>175_112859133</t>
  </si>
  <si>
    <t>S56910</t>
  </si>
  <si>
    <t>tRNA30358</t>
  </si>
  <si>
    <t>grRNA7079</t>
  </si>
  <si>
    <t>cDNA36790</t>
  </si>
  <si>
    <t>Plate_3_C6</t>
  </si>
  <si>
    <t>lib30571</t>
  </si>
  <si>
    <t>C6</t>
  </si>
  <si>
    <t>176_138997850</t>
  </si>
  <si>
    <t>S56911</t>
  </si>
  <si>
    <t>tRNA30359</t>
  </si>
  <si>
    <t>grRNA7080</t>
  </si>
  <si>
    <t>cDNA36791</t>
  </si>
  <si>
    <t>Plate_3_D6</t>
  </si>
  <si>
    <t>lib30572</t>
  </si>
  <si>
    <t>D6</t>
  </si>
  <si>
    <t>177_116943341</t>
  </si>
  <si>
    <t>S56912</t>
  </si>
  <si>
    <t>tRNA30360</t>
  </si>
  <si>
    <t>grRNA7081</t>
  </si>
  <si>
    <t>cDNA36792</t>
  </si>
  <si>
    <t>Plate_3_E6</t>
  </si>
  <si>
    <t>lib30573</t>
  </si>
  <si>
    <t>E6</t>
  </si>
  <si>
    <t>178_116944047</t>
  </si>
  <si>
    <t>S56913</t>
  </si>
  <si>
    <t>tRNA30361</t>
  </si>
  <si>
    <t>grRNA7082</t>
  </si>
  <si>
    <t>cDNA36793</t>
  </si>
  <si>
    <t>Plate_3_F6</t>
  </si>
  <si>
    <t>lib30574</t>
  </si>
  <si>
    <t>F6</t>
  </si>
  <si>
    <t>179_112861171</t>
  </si>
  <si>
    <t>S56914</t>
  </si>
  <si>
    <t>tRNA30362</t>
  </si>
  <si>
    <t>grRNA7083</t>
  </si>
  <si>
    <t>cDNA36794</t>
  </si>
  <si>
    <t>Plate_3_G6</t>
  </si>
  <si>
    <t>lib30575</t>
  </si>
  <si>
    <t>G6</t>
  </si>
  <si>
    <t>180_158663017</t>
  </si>
  <si>
    <t>S56915</t>
  </si>
  <si>
    <t>tRNA30363</t>
  </si>
  <si>
    <t>grRNA7084</t>
  </si>
  <si>
    <t>cDNA36795</t>
  </si>
  <si>
    <t>Plate_3_H6</t>
  </si>
  <si>
    <t>lib30576</t>
  </si>
  <si>
    <t>H6</t>
  </si>
  <si>
    <t>181_158663020</t>
  </si>
  <si>
    <t>S56916</t>
  </si>
  <si>
    <t>tRNA30364</t>
  </si>
  <si>
    <t>grRNA7085</t>
  </si>
  <si>
    <t>cDNA36796</t>
  </si>
  <si>
    <t>Plate_3_A7</t>
  </si>
  <si>
    <t>lib30577</t>
  </si>
  <si>
    <t>A7</t>
  </si>
  <si>
    <t>182_158662954</t>
  </si>
  <si>
    <t>S56917</t>
  </si>
  <si>
    <t>tRNA30365</t>
  </si>
  <si>
    <t>grRNA7086</t>
  </si>
  <si>
    <t>cDNA36797</t>
  </si>
  <si>
    <t>Plate_3_B7</t>
  </si>
  <si>
    <t>lib30578</t>
  </si>
  <si>
    <t>B7</t>
  </si>
  <si>
    <t>183_116941738</t>
  </si>
  <si>
    <t>S56918</t>
  </si>
  <si>
    <t>tRNA30366</t>
  </si>
  <si>
    <t>grRNA7087</t>
  </si>
  <si>
    <t>cDNA36798</t>
  </si>
  <si>
    <t>Plate_3_C7</t>
  </si>
  <si>
    <t>lib30579</t>
  </si>
  <si>
    <t>C7</t>
  </si>
  <si>
    <t>184_1087136153</t>
  </si>
  <si>
    <t>S56919</t>
  </si>
  <si>
    <t>tRNA30367</t>
  </si>
  <si>
    <t>grRNA7088</t>
  </si>
  <si>
    <t>cDNA36799</t>
  </si>
  <si>
    <t>Plate_3_D7</t>
  </si>
  <si>
    <t>lib30580</t>
  </si>
  <si>
    <t>D7</t>
  </si>
  <si>
    <t>185_1087136164</t>
  </si>
  <si>
    <t>S56920</t>
  </si>
  <si>
    <t>tRNA30368</t>
  </si>
  <si>
    <t>grRNA7089</t>
  </si>
  <si>
    <t>cDNA36800</t>
  </si>
  <si>
    <t>Plate_3_E7</t>
  </si>
  <si>
    <t>lib30581</t>
  </si>
  <si>
    <t>E7</t>
  </si>
  <si>
    <t>186_126665773</t>
  </si>
  <si>
    <t>S56921</t>
  </si>
  <si>
    <t>tRNA30369</t>
  </si>
  <si>
    <t>grRNA7090</t>
  </si>
  <si>
    <t>cDNA36801</t>
  </si>
  <si>
    <t>Plate_3_F7</t>
  </si>
  <si>
    <t>lib30582</t>
  </si>
  <si>
    <t>F7</t>
  </si>
  <si>
    <t>187_126679589</t>
  </si>
  <si>
    <t>S56922</t>
  </si>
  <si>
    <t>tRNA30370</t>
  </si>
  <si>
    <t>grRNA7091</t>
  </si>
  <si>
    <t>cDNA36802</t>
  </si>
  <si>
    <t>Plate_3_G7</t>
  </si>
  <si>
    <t>lib30583</t>
  </si>
  <si>
    <t>G7</t>
  </si>
  <si>
    <t>188_126685468</t>
  </si>
  <si>
    <t>S56923</t>
  </si>
  <si>
    <t>tRNA30371</t>
  </si>
  <si>
    <t>grRNA7092</t>
  </si>
  <si>
    <t>cDNA36803</t>
  </si>
  <si>
    <t>Plate_3_H7</t>
  </si>
  <si>
    <t>lib30584</t>
  </si>
  <si>
    <t>H7</t>
  </si>
  <si>
    <t>189_126666969</t>
  </si>
  <si>
    <t>S56924</t>
  </si>
  <si>
    <t>tRNA30372</t>
  </si>
  <si>
    <t>grRNA7093</t>
  </si>
  <si>
    <t>cDNA36804</t>
  </si>
  <si>
    <t>Plate_3_A8</t>
  </si>
  <si>
    <t>lib30585</t>
  </si>
  <si>
    <t>A8</t>
  </si>
  <si>
    <t>190_126666927</t>
  </si>
  <si>
    <t>S56925</t>
  </si>
  <si>
    <t>tRNA30373</t>
  </si>
  <si>
    <t>grRNA7094</t>
  </si>
  <si>
    <t>cDNA36805</t>
  </si>
  <si>
    <t>Plate_3_B8</t>
  </si>
  <si>
    <t>lib30586</t>
  </si>
  <si>
    <t>B8</t>
  </si>
  <si>
    <t>191_126668038</t>
  </si>
  <si>
    <t>S56926</t>
  </si>
  <si>
    <t>tRNA30374</t>
  </si>
  <si>
    <t>grRNA7095</t>
  </si>
  <si>
    <t>cDNA36806</t>
  </si>
  <si>
    <t>Plate_3_C8</t>
  </si>
  <si>
    <t>lib30587</t>
  </si>
  <si>
    <t>C8</t>
  </si>
  <si>
    <t>192_178149376</t>
  </si>
  <si>
    <t>S56927</t>
  </si>
  <si>
    <t>tRNA30375</t>
  </si>
  <si>
    <t>grRNA7096</t>
  </si>
  <si>
    <t>cDNA36807</t>
  </si>
  <si>
    <t>Plate_3_D8</t>
  </si>
  <si>
    <t>lib30588</t>
  </si>
  <si>
    <t>D8</t>
  </si>
  <si>
    <t>193_178149369</t>
  </si>
  <si>
    <t>S56928</t>
  </si>
  <si>
    <t>tRNA30376</t>
  </si>
  <si>
    <t>grRNA7097</t>
  </si>
  <si>
    <t>cDNA36808</t>
  </si>
  <si>
    <t>Plate_3_E8</t>
  </si>
  <si>
    <t>lib30589</t>
  </si>
  <si>
    <t>E8</t>
  </si>
  <si>
    <t>194_158666073</t>
  </si>
  <si>
    <t>S56929</t>
  </si>
  <si>
    <t>tRNA30377</t>
  </si>
  <si>
    <t>grRNA7098</t>
  </si>
  <si>
    <t>cDNA36809</t>
  </si>
  <si>
    <t>Plate_3_F8</t>
  </si>
  <si>
    <t>lib30590</t>
  </si>
  <si>
    <t>F8</t>
  </si>
  <si>
    <t>195_158665232</t>
  </si>
  <si>
    <t>S56930</t>
  </si>
  <si>
    <t>tRNA30378</t>
  </si>
  <si>
    <t>grRNA7099</t>
  </si>
  <si>
    <t>cDNA36810</t>
  </si>
  <si>
    <t>Plate_3_G8</t>
  </si>
  <si>
    <t>lib30591</t>
  </si>
  <si>
    <t>G8</t>
  </si>
  <si>
    <t>196_158665164</t>
  </si>
  <si>
    <t>S56931</t>
  </si>
  <si>
    <t>tRNA30379</t>
  </si>
  <si>
    <t>grRNA7100</t>
  </si>
  <si>
    <t>cDNA36811</t>
  </si>
  <si>
    <t>Plate_3_H8</t>
  </si>
  <si>
    <t>lib30592</t>
  </si>
  <si>
    <t>H8</t>
  </si>
  <si>
    <t>197_158694727</t>
  </si>
  <si>
    <t>S56932</t>
  </si>
  <si>
    <t>tRNA30380</t>
  </si>
  <si>
    <t>grRNA7101</t>
  </si>
  <si>
    <t>cDNA36812</t>
  </si>
  <si>
    <t>Plate_3_A9</t>
  </si>
  <si>
    <t>lib30593</t>
  </si>
  <si>
    <t>A9</t>
  </si>
  <si>
    <t>198_158694729</t>
  </si>
  <si>
    <t>S56933</t>
  </si>
  <si>
    <t>tRNA30381</t>
  </si>
  <si>
    <t>grRNA7102</t>
  </si>
  <si>
    <t>cDNA36813</t>
  </si>
  <si>
    <t>Plate_3_B9</t>
  </si>
  <si>
    <t>lib30594</t>
  </si>
  <si>
    <t>B9</t>
  </si>
  <si>
    <t>INDEX</t>
  </si>
  <si>
    <t>SAMPLE ID</t>
  </si>
  <si>
    <t>PROJECT</t>
  </si>
  <si>
    <t>INDEX 1 (I7)</t>
  </si>
  <si>
    <t>INDEX 2 (I5)</t>
  </si>
  <si>
    <t>% READS IDENTIFIED (PF)</t>
  </si>
  <si>
    <t>default</t>
  </si>
  <si>
    <t>PF reads for lib</t>
  </si>
  <si>
    <t>total PF reads in lanes</t>
  </si>
  <si>
    <t>average PF reads/lib</t>
  </si>
  <si>
    <t>Row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</si>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</sst>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1"/>
      <color indexed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43" fontId="5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Font="1" applyFill="1" applyBorder="1" applyAlignment="1">
      <alignment horizontal="left"/>
    </xf>
    <xf numFmtId="0" fontId="0" fillId="0" borderId="0" xfId="0" applyBorder="1"/>
    <xf numFmtId="0" fontId="0" fillId="5" borderId="0" xfId="0" applyFill="1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2" borderId="0" xfId="0" applyFill="1" applyBorder="1"/>
    <xf numFmtId="14" fontId="0" fillId="3" borderId="0" xfId="0" applyNumberFormat="1" applyFill="1" applyBorder="1"/>
    <xf numFmtId="0" fontId="0" fillId="3" borderId="0" xfId="0" applyFill="1" applyBorder="1"/>
    <xf numFmtId="0" fontId="0" fillId="0" borderId="0" xfId="0" applyBorder="1" applyAlignment="1">
      <alignment horizontal="center" vertical="center"/>
    </xf>
    <xf numFmtId="0" fontId="1" fillId="0" borderId="0" xfId="0" applyFont="1" applyFill="1" applyBorder="1"/>
    <xf numFmtId="0" fontId="0" fillId="0" borderId="0" xfId="0" applyBorder="1" applyAlignment="1">
      <alignment horizontal="center" vertical="center" wrapText="1"/>
    </xf>
    <xf numFmtId="0" fontId="4" fillId="0" borderId="0" xfId="2" applyFont="1" applyFill="1" applyBorder="1" applyAlignment="1">
      <alignment horizontal="left" wrapText="1"/>
    </xf>
    <xf numFmtId="14" fontId="0" fillId="0" borderId="0" xfId="0" applyNumberFormat="1" applyBorder="1"/>
    <xf numFmtId="0" fontId="4" fillId="4" borderId="0" xfId="2" applyFont="1" applyFill="1" applyBorder="1" applyAlignment="1">
      <alignment horizontal="left" wrapText="1"/>
    </xf>
    <xf numFmtId="1" fontId="0" fillId="0" borderId="0" xfId="0" applyNumberFormat="1" applyFont="1" applyFill="1" applyBorder="1"/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9" borderId="0" xfId="0" applyFill="1" applyBorder="1"/>
    <xf numFmtId="1" fontId="0" fillId="5" borderId="0" xfId="0" applyNumberFormat="1" applyFont="1" applyFill="1" applyBorder="1"/>
    <xf numFmtId="0" fontId="0" fillId="10" borderId="0" xfId="0" applyFill="1" applyBorder="1" applyAlignment="1">
      <alignment wrapText="1"/>
    </xf>
    <xf numFmtId="0" fontId="0" fillId="0" borderId="0" xfId="0" applyFill="1" applyBorder="1"/>
    <xf numFmtId="164" fontId="0" fillId="0" borderId="0" xfId="3" applyNumberFormat="1" applyFont="1" applyFill="1" applyBorder="1"/>
    <xf numFmtId="3" fontId="0" fillId="0" borderId="0" xfId="0" applyNumberFormat="1" applyFill="1" applyBorder="1"/>
    <xf numFmtId="164" fontId="0" fillId="0" borderId="0" xfId="0" applyNumberFormat="1" applyFill="1" applyBorder="1"/>
    <xf numFmtId="0" fontId="4" fillId="0" borderId="0" xfId="1" applyFont="1" applyFill="1" applyBorder="1" applyAlignment="1">
      <alignment horizontal="left"/>
    </xf>
    <xf numFmtId="164" fontId="0" fillId="11" borderId="0" xfId="3" applyNumberFormat="1" applyFont="1" applyFill="1" applyBorder="1"/>
    <xf numFmtId="0" fontId="0" fillId="11" borderId="0" xfId="0" applyFill="1" applyBorder="1"/>
    <xf numFmtId="0" fontId="6" fillId="11" borderId="0" xfId="1" applyFont="1" applyFill="1" applyBorder="1" applyAlignment="1">
      <alignment horizontal="center"/>
    </xf>
    <xf numFmtId="0" fontId="6" fillId="11" borderId="0" xfId="2" applyFont="1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</cellXfs>
  <cellStyles count="4">
    <cellStyle name="Comma" xfId="3" builtinId="3"/>
    <cellStyle name="Normal" xfId="0" builtinId="0"/>
    <cellStyle name="Normal_Sheet1" xfId="2" xr:uid="{00000000-0005-0000-0000-000002000000}"/>
    <cellStyle name="Normal_Sheet2" xfId="1" xr:uid="{00000000-0005-0000-0000-000003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199"/>
  <sheetViews>
    <sheetView tabSelected="1" topLeftCell="R1" workbookViewId="0">
      <selection activeCell="V2" sqref="V2"/>
    </sheetView>
  </sheetViews>
  <sheetFormatPr baseColWidth="10" defaultColWidth="9.1640625" defaultRowHeight="15" x14ac:dyDescent="0.2"/>
  <cols>
    <col min="1" max="1" width="9.1640625" style="2"/>
    <col min="2" max="2" width="15.1640625" style="2" bestFit="1" customWidth="1"/>
    <col min="3" max="3" width="12.5" style="2" bestFit="1" customWidth="1"/>
    <col min="4" max="4" width="12.5" style="2" customWidth="1"/>
    <col min="5" max="5" width="13.33203125" style="2" bestFit="1" customWidth="1"/>
    <col min="6" max="6" width="12.5" style="2" bestFit="1" customWidth="1"/>
    <col min="7" max="7" width="9.6640625" style="2" bestFit="1" customWidth="1"/>
    <col min="8" max="8" width="19.83203125" style="2" bestFit="1" customWidth="1"/>
    <col min="9" max="9" width="14.33203125" style="2" bestFit="1" customWidth="1"/>
    <col min="10" max="10" width="14.33203125" style="2" customWidth="1"/>
    <col min="11" max="11" width="9.1640625" style="2"/>
    <col min="12" max="12" width="10.5" style="2" bestFit="1" customWidth="1"/>
    <col min="13" max="13" width="15.33203125" style="2" bestFit="1" customWidth="1"/>
    <col min="14" max="14" width="19" style="2" bestFit="1" customWidth="1"/>
    <col min="15" max="16" width="9.1640625" style="2"/>
    <col min="17" max="17" width="14.5" style="2" bestFit="1" customWidth="1"/>
    <col min="18" max="18" width="27.5" style="2" bestFit="1" customWidth="1"/>
    <col min="19" max="19" width="17.1640625" style="2" customWidth="1"/>
    <col min="20" max="20" width="9.1640625" style="2"/>
    <col min="21" max="21" width="2.33203125" style="2" bestFit="1" customWidth="1"/>
    <col min="22" max="22" width="2" style="2" bestFit="1" customWidth="1"/>
    <col min="23" max="23" width="11" style="2" bestFit="1" customWidth="1"/>
    <col min="24" max="24" width="13.6640625" style="2" bestFit="1" customWidth="1"/>
    <col min="25" max="25" width="12.5" style="2" customWidth="1"/>
    <col min="26" max="26" width="27.6640625" style="2" customWidth="1"/>
    <col min="27" max="38" width="9.1640625" style="2"/>
    <col min="39" max="39" width="15" style="2" customWidth="1"/>
    <col min="40" max="40" width="9.1640625" style="2"/>
    <col min="41" max="41" width="15.33203125" style="2" customWidth="1"/>
    <col min="42" max="42" width="9.1640625" style="2"/>
    <col min="43" max="43" width="12.5" style="2" bestFit="1" customWidth="1"/>
    <col min="44" max="45" width="9.1640625" style="2"/>
    <col min="46" max="47" width="15" style="29" customWidth="1"/>
    <col min="48" max="48" width="9.1640625" style="23"/>
    <col min="49" max="49" width="12.5" style="23" bestFit="1" customWidth="1"/>
    <col min="50" max="50" width="10.5" style="23" bestFit="1" customWidth="1"/>
    <col min="51" max="182" width="9.1640625" style="23"/>
    <col min="183" max="16384" width="9.1640625" style="2"/>
  </cols>
  <sheetData>
    <row r="1" spans="1:182" ht="48" x14ac:dyDescent="0.2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18</v>
      </c>
      <c r="U1" s="23" t="s">
        <v>1646</v>
      </c>
      <c r="V1" s="23" t="s">
        <v>1647</v>
      </c>
      <c r="W1" s="2" t="s">
        <v>19</v>
      </c>
      <c r="X1" s="2" t="s">
        <v>20</v>
      </c>
      <c r="Y1" s="6" t="s">
        <v>21</v>
      </c>
      <c r="Z1" s="2" t="s">
        <v>22</v>
      </c>
      <c r="AA1" s="7" t="s">
        <v>23</v>
      </c>
      <c r="AB1" s="7" t="s">
        <v>24</v>
      </c>
      <c r="AC1" s="7" t="s">
        <v>24</v>
      </c>
      <c r="AD1" s="7" t="s">
        <v>25</v>
      </c>
      <c r="AE1" s="7" t="s">
        <v>25</v>
      </c>
      <c r="AG1" s="22" t="s">
        <v>1636</v>
      </c>
      <c r="AH1" s="22" t="s">
        <v>1637</v>
      </c>
      <c r="AI1" s="22" t="s">
        <v>1638</v>
      </c>
      <c r="AJ1" s="22" t="s">
        <v>1639</v>
      </c>
      <c r="AK1" s="22" t="s">
        <v>1640</v>
      </c>
      <c r="AL1" s="22" t="s">
        <v>1641</v>
      </c>
      <c r="AM1" s="22" t="s">
        <v>1643</v>
      </c>
      <c r="AO1" s="22" t="s">
        <v>1644</v>
      </c>
      <c r="AQ1" s="2" t="s">
        <v>1</v>
      </c>
      <c r="AT1" s="30" t="s">
        <v>27</v>
      </c>
      <c r="AU1" s="31" t="s">
        <v>350</v>
      </c>
      <c r="AW1" s="32" t="s">
        <v>1645</v>
      </c>
      <c r="AX1" s="32"/>
    </row>
    <row r="2" spans="1:182" s="9" customFormat="1" ht="16" x14ac:dyDescent="0.2">
      <c r="A2" s="2" t="s">
        <v>31</v>
      </c>
      <c r="B2" s="1" t="s">
        <v>26</v>
      </c>
      <c r="C2" s="1" t="s">
        <v>27</v>
      </c>
      <c r="D2" s="1" t="s">
        <v>28</v>
      </c>
      <c r="E2" s="8">
        <v>43370</v>
      </c>
      <c r="F2" s="9" t="s">
        <v>29</v>
      </c>
      <c r="G2" s="2" t="s">
        <v>30</v>
      </c>
      <c r="H2" s="2" t="s">
        <v>26</v>
      </c>
      <c r="I2" s="2" t="s">
        <v>32</v>
      </c>
      <c r="J2" s="2" t="s">
        <v>33</v>
      </c>
      <c r="K2" s="10">
        <v>300</v>
      </c>
      <c r="L2" s="11">
        <v>12000</v>
      </c>
      <c r="M2" s="2" t="s">
        <v>34</v>
      </c>
      <c r="N2" s="2" t="s">
        <v>35</v>
      </c>
      <c r="O2" s="2">
        <v>29.6</v>
      </c>
      <c r="P2" s="12">
        <f>O2*35</f>
        <v>1036</v>
      </c>
      <c r="Q2" s="2" t="s">
        <v>36</v>
      </c>
      <c r="R2" s="2" t="s">
        <v>37</v>
      </c>
      <c r="S2" s="9" t="s">
        <v>38</v>
      </c>
      <c r="T2" s="9" t="s">
        <v>39</v>
      </c>
      <c r="U2" s="9" t="s">
        <v>40</v>
      </c>
      <c r="V2" s="9">
        <v>1</v>
      </c>
      <c r="Y2" s="2" t="s">
        <v>41</v>
      </c>
      <c r="Z2" s="9" t="s">
        <v>42</v>
      </c>
      <c r="AA2" s="7" t="s">
        <v>43</v>
      </c>
      <c r="AB2" s="7" t="s">
        <v>44</v>
      </c>
      <c r="AC2" s="7" t="s">
        <v>45</v>
      </c>
      <c r="AD2" s="7" t="s">
        <v>46</v>
      </c>
      <c r="AE2" s="7" t="s">
        <v>47</v>
      </c>
      <c r="AG2" s="23">
        <v>228</v>
      </c>
      <c r="AH2" s="23" t="s">
        <v>41</v>
      </c>
      <c r="AI2" s="23" t="s">
        <v>1642</v>
      </c>
      <c r="AJ2" s="23" t="s">
        <v>45</v>
      </c>
      <c r="AK2" s="23" t="s">
        <v>47</v>
      </c>
      <c r="AL2" s="23">
        <v>0.3473</v>
      </c>
      <c r="AM2" s="24">
        <f>AL2*AO2/100</f>
        <v>5075033.7752</v>
      </c>
      <c r="AN2" s="23"/>
      <c r="AO2" s="25">
        <v>1461282400</v>
      </c>
      <c r="AP2" s="23"/>
      <c r="AQ2" s="1" t="s">
        <v>27</v>
      </c>
      <c r="AR2" s="23"/>
      <c r="AS2" s="23"/>
      <c r="AT2" s="28">
        <v>5075033.7752</v>
      </c>
      <c r="AU2" s="28">
        <v>5808597.54</v>
      </c>
      <c r="AV2" s="23"/>
      <c r="AW2" s="27" t="s">
        <v>27</v>
      </c>
      <c r="AX2" s="13" t="s">
        <v>350</v>
      </c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</row>
    <row r="3" spans="1:182" s="9" customFormat="1" x14ac:dyDescent="0.2">
      <c r="A3" s="2" t="s">
        <v>31</v>
      </c>
      <c r="B3" s="1" t="s">
        <v>48</v>
      </c>
      <c r="C3" s="1" t="s">
        <v>27</v>
      </c>
      <c r="D3" s="1" t="s">
        <v>28</v>
      </c>
      <c r="E3" s="8">
        <v>43370</v>
      </c>
      <c r="F3" s="9" t="s">
        <v>29</v>
      </c>
      <c r="G3" s="2" t="s">
        <v>49</v>
      </c>
      <c r="H3" s="2" t="s">
        <v>48</v>
      </c>
      <c r="I3" s="2" t="s">
        <v>50</v>
      </c>
      <c r="J3" s="2" t="s">
        <v>33</v>
      </c>
      <c r="K3" s="10">
        <v>309.12</v>
      </c>
      <c r="L3" s="11">
        <v>12364.8</v>
      </c>
      <c r="M3" s="2" t="s">
        <v>51</v>
      </c>
      <c r="N3" s="2" t="s">
        <v>35</v>
      </c>
      <c r="O3" s="2">
        <v>29.36</v>
      </c>
      <c r="P3" s="12">
        <f t="shared" ref="P3:P66" si="0">O3*35</f>
        <v>1027.5999999999999</v>
      </c>
      <c r="Q3" s="2" t="s">
        <v>52</v>
      </c>
      <c r="R3" s="2" t="s">
        <v>37</v>
      </c>
      <c r="S3" s="9" t="s">
        <v>53</v>
      </c>
      <c r="T3" s="9" t="s">
        <v>39</v>
      </c>
      <c r="U3" s="9" t="s">
        <v>54</v>
      </c>
      <c r="V3" s="9">
        <v>1</v>
      </c>
      <c r="W3" s="9">
        <v>12.9</v>
      </c>
      <c r="X3" s="9">
        <v>0.23300000000000001</v>
      </c>
      <c r="Y3" s="2" t="s">
        <v>55</v>
      </c>
      <c r="Z3" s="9" t="s">
        <v>42</v>
      </c>
      <c r="AA3" s="7" t="s">
        <v>56</v>
      </c>
      <c r="AB3" s="7" t="s">
        <v>44</v>
      </c>
      <c r="AC3" s="7" t="s">
        <v>45</v>
      </c>
      <c r="AD3" s="7" t="s">
        <v>57</v>
      </c>
      <c r="AE3" s="7" t="s">
        <v>58</v>
      </c>
      <c r="AG3" s="23">
        <v>229</v>
      </c>
      <c r="AH3" s="23" t="s">
        <v>55</v>
      </c>
      <c r="AI3" s="23" t="s">
        <v>1642</v>
      </c>
      <c r="AJ3" s="23" t="s">
        <v>45</v>
      </c>
      <c r="AK3" s="23" t="s">
        <v>58</v>
      </c>
      <c r="AL3" s="23">
        <v>0.41199999999999998</v>
      </c>
      <c r="AM3" s="24">
        <f t="shared" ref="AM3:AM66" si="1">AL3*AO3/100</f>
        <v>6020483.4879999999</v>
      </c>
      <c r="AN3" s="23"/>
      <c r="AO3" s="25">
        <v>1461282400</v>
      </c>
      <c r="AP3" s="23"/>
      <c r="AQ3" s="1" t="s">
        <v>27</v>
      </c>
      <c r="AR3" s="23"/>
      <c r="AS3" s="23"/>
      <c r="AT3" s="28">
        <v>6020483.4879999999</v>
      </c>
      <c r="AU3" s="28">
        <v>5552873.1200000001</v>
      </c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</row>
    <row r="4" spans="1:182" s="9" customFormat="1" x14ac:dyDescent="0.2">
      <c r="A4" s="2" t="s">
        <v>31</v>
      </c>
      <c r="B4" s="1" t="s">
        <v>59</v>
      </c>
      <c r="C4" s="1" t="s">
        <v>27</v>
      </c>
      <c r="D4" s="1" t="s">
        <v>28</v>
      </c>
      <c r="E4" s="8">
        <v>43370</v>
      </c>
      <c r="F4" s="9" t="s">
        <v>29</v>
      </c>
      <c r="G4" s="2" t="s">
        <v>60</v>
      </c>
      <c r="H4" s="2" t="s">
        <v>59</v>
      </c>
      <c r="I4" s="2" t="s">
        <v>61</v>
      </c>
      <c r="J4" s="2" t="s">
        <v>33</v>
      </c>
      <c r="K4" s="10">
        <v>166.24</v>
      </c>
      <c r="L4" s="11">
        <v>6649.6</v>
      </c>
      <c r="M4" s="2" t="s">
        <v>62</v>
      </c>
      <c r="N4" s="2" t="s">
        <v>35</v>
      </c>
      <c r="O4" s="2">
        <v>33.6</v>
      </c>
      <c r="P4" s="12">
        <f t="shared" si="0"/>
        <v>1176</v>
      </c>
      <c r="Q4" s="2" t="s">
        <v>63</v>
      </c>
      <c r="R4" s="2" t="s">
        <v>37</v>
      </c>
      <c r="S4" s="9" t="s">
        <v>64</v>
      </c>
      <c r="T4" s="9" t="s">
        <v>39</v>
      </c>
      <c r="U4" s="9" t="s">
        <v>65</v>
      </c>
      <c r="V4" s="9">
        <v>1</v>
      </c>
      <c r="Y4" s="2" t="s">
        <v>66</v>
      </c>
      <c r="Z4" s="9" t="s">
        <v>42</v>
      </c>
      <c r="AA4" s="7" t="s">
        <v>67</v>
      </c>
      <c r="AB4" s="7" t="s">
        <v>44</v>
      </c>
      <c r="AC4" s="7" t="s">
        <v>45</v>
      </c>
      <c r="AD4" s="7" t="s">
        <v>68</v>
      </c>
      <c r="AE4" s="7" t="s">
        <v>69</v>
      </c>
      <c r="AG4" s="23">
        <v>230</v>
      </c>
      <c r="AH4" s="23" t="s">
        <v>66</v>
      </c>
      <c r="AI4" s="23" t="s">
        <v>1642</v>
      </c>
      <c r="AJ4" s="23" t="s">
        <v>45</v>
      </c>
      <c r="AK4" s="23" t="s">
        <v>69</v>
      </c>
      <c r="AL4" s="23">
        <v>0.3947</v>
      </c>
      <c r="AM4" s="24">
        <f t="shared" si="1"/>
        <v>5767681.6327999998</v>
      </c>
      <c r="AN4" s="23"/>
      <c r="AO4" s="25">
        <v>1461282400</v>
      </c>
      <c r="AP4" s="23"/>
      <c r="AQ4" s="1" t="s">
        <v>27</v>
      </c>
      <c r="AR4" s="23"/>
      <c r="AS4" s="23"/>
      <c r="AT4" s="28">
        <v>5767681.6327999998</v>
      </c>
      <c r="AU4" s="28">
        <v>4392614.8943999996</v>
      </c>
      <c r="AV4" s="23"/>
      <c r="AW4" s="26">
        <f>AVERAGE(AT2:AT95)</f>
        <v>6428072.4586978704</v>
      </c>
      <c r="AX4" s="26">
        <f>AVERAGE(AU2:AU105)</f>
        <v>6661607.0902076913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</row>
    <row r="5" spans="1:182" s="9" customFormat="1" x14ac:dyDescent="0.2">
      <c r="A5" s="2" t="s">
        <v>31</v>
      </c>
      <c r="B5" s="1" t="s">
        <v>70</v>
      </c>
      <c r="C5" s="1" t="s">
        <v>27</v>
      </c>
      <c r="D5" s="1" t="s">
        <v>28</v>
      </c>
      <c r="E5" s="8">
        <v>43370</v>
      </c>
      <c r="F5" s="9" t="s">
        <v>29</v>
      </c>
      <c r="G5" s="2" t="s">
        <v>71</v>
      </c>
      <c r="H5" s="2" t="s">
        <v>70</v>
      </c>
      <c r="I5" s="2" t="s">
        <v>72</v>
      </c>
      <c r="J5" s="2" t="s">
        <v>33</v>
      </c>
      <c r="K5" s="10">
        <v>307.12</v>
      </c>
      <c r="L5" s="11">
        <v>12284.8</v>
      </c>
      <c r="M5" s="2" t="s">
        <v>73</v>
      </c>
      <c r="N5" s="2" t="s">
        <v>35</v>
      </c>
      <c r="O5" s="2">
        <v>33.119999999999997</v>
      </c>
      <c r="P5" s="12">
        <f t="shared" si="0"/>
        <v>1159.1999999999998</v>
      </c>
      <c r="Q5" s="2" t="s">
        <v>74</v>
      </c>
      <c r="R5" s="2" t="s">
        <v>37</v>
      </c>
      <c r="S5" s="9" t="s">
        <v>75</v>
      </c>
      <c r="T5" s="9" t="s">
        <v>39</v>
      </c>
      <c r="U5" s="9" t="s">
        <v>76</v>
      </c>
      <c r="V5" s="9">
        <v>1</v>
      </c>
      <c r="Y5" s="2" t="s">
        <v>77</v>
      </c>
      <c r="Z5" s="9" t="s">
        <v>42</v>
      </c>
      <c r="AA5" s="7" t="s">
        <v>78</v>
      </c>
      <c r="AB5" s="7" t="s">
        <v>44</v>
      </c>
      <c r="AC5" s="7" t="s">
        <v>45</v>
      </c>
      <c r="AD5" s="7" t="s">
        <v>79</v>
      </c>
      <c r="AE5" s="7" t="s">
        <v>80</v>
      </c>
      <c r="AG5" s="23">
        <v>231</v>
      </c>
      <c r="AH5" s="23" t="s">
        <v>77</v>
      </c>
      <c r="AI5" s="23" t="s">
        <v>1642</v>
      </c>
      <c r="AJ5" s="23" t="s">
        <v>45</v>
      </c>
      <c r="AK5" s="23" t="s">
        <v>80</v>
      </c>
      <c r="AL5" s="23">
        <v>0.38500000000000001</v>
      </c>
      <c r="AM5" s="24">
        <f t="shared" si="1"/>
        <v>5625937.2400000002</v>
      </c>
      <c r="AN5" s="23"/>
      <c r="AO5" s="25">
        <v>1461282400</v>
      </c>
      <c r="AP5" s="23"/>
      <c r="AQ5" s="1" t="s">
        <v>27</v>
      </c>
      <c r="AR5" s="23"/>
      <c r="AS5" s="23"/>
      <c r="AT5" s="28">
        <v>5625937.2400000002</v>
      </c>
      <c r="AU5" s="28">
        <v>5634704.9343999997</v>
      </c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</row>
    <row r="6" spans="1:182" s="9" customFormat="1" x14ac:dyDescent="0.2">
      <c r="A6" s="2" t="s">
        <v>31</v>
      </c>
      <c r="B6" s="1" t="s">
        <v>81</v>
      </c>
      <c r="C6" s="1" t="s">
        <v>27</v>
      </c>
      <c r="D6" s="1" t="s">
        <v>28</v>
      </c>
      <c r="E6" s="8">
        <v>43370</v>
      </c>
      <c r="F6" s="9" t="s">
        <v>29</v>
      </c>
      <c r="G6" s="2" t="s">
        <v>82</v>
      </c>
      <c r="H6" s="2" t="s">
        <v>81</v>
      </c>
      <c r="I6" s="2" t="s">
        <v>83</v>
      </c>
      <c r="J6" s="2" t="s">
        <v>33</v>
      </c>
      <c r="K6" s="10">
        <v>198.8</v>
      </c>
      <c r="L6" s="11">
        <v>7952</v>
      </c>
      <c r="M6" s="2" t="s">
        <v>84</v>
      </c>
      <c r="N6" s="2" t="s">
        <v>35</v>
      </c>
      <c r="O6" s="2">
        <v>32.24</v>
      </c>
      <c r="P6" s="12">
        <f t="shared" si="0"/>
        <v>1128.4000000000001</v>
      </c>
      <c r="Q6" s="2" t="s">
        <v>85</v>
      </c>
      <c r="R6" s="2" t="s">
        <v>37</v>
      </c>
      <c r="S6" s="9" t="s">
        <v>86</v>
      </c>
      <c r="T6" s="9" t="s">
        <v>39</v>
      </c>
      <c r="U6" s="9" t="s">
        <v>87</v>
      </c>
      <c r="V6" s="9">
        <v>1</v>
      </c>
      <c r="Y6" s="2" t="s">
        <v>88</v>
      </c>
      <c r="Z6" s="9" t="s">
        <v>42</v>
      </c>
      <c r="AA6" s="7" t="s">
        <v>89</v>
      </c>
      <c r="AB6" s="7" t="s">
        <v>44</v>
      </c>
      <c r="AC6" s="7" t="s">
        <v>45</v>
      </c>
      <c r="AD6" s="7" t="s">
        <v>90</v>
      </c>
      <c r="AE6" s="7" t="s">
        <v>91</v>
      </c>
      <c r="AG6" s="23">
        <v>232</v>
      </c>
      <c r="AH6" s="23" t="s">
        <v>88</v>
      </c>
      <c r="AI6" s="23" t="s">
        <v>1642</v>
      </c>
      <c r="AJ6" s="23" t="s">
        <v>45</v>
      </c>
      <c r="AK6" s="23" t="s">
        <v>91</v>
      </c>
      <c r="AL6" s="23">
        <v>0.44450000000000001</v>
      </c>
      <c r="AM6" s="24">
        <f t="shared" si="1"/>
        <v>6495400.2679999992</v>
      </c>
      <c r="AN6" s="23"/>
      <c r="AO6" s="25">
        <v>1461282400</v>
      </c>
      <c r="AP6" s="23"/>
      <c r="AQ6" s="1" t="s">
        <v>27</v>
      </c>
      <c r="AR6" s="23"/>
      <c r="AS6" s="23"/>
      <c r="AT6" s="28">
        <v>6495400.2679999992</v>
      </c>
      <c r="AU6" s="28">
        <v>4573813.9119999995</v>
      </c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</row>
    <row r="7" spans="1:182" s="9" customFormat="1" x14ac:dyDescent="0.2">
      <c r="A7" s="2" t="s">
        <v>31</v>
      </c>
      <c r="B7" s="1" t="s">
        <v>92</v>
      </c>
      <c r="C7" s="1" t="s">
        <v>27</v>
      </c>
      <c r="D7" s="1" t="s">
        <v>28</v>
      </c>
      <c r="E7" s="8">
        <v>43370</v>
      </c>
      <c r="F7" s="9" t="s">
        <v>29</v>
      </c>
      <c r="G7" s="2" t="s">
        <v>93</v>
      </c>
      <c r="H7" s="2" t="s">
        <v>92</v>
      </c>
      <c r="I7" s="2" t="s">
        <v>94</v>
      </c>
      <c r="J7" s="2" t="s">
        <v>33</v>
      </c>
      <c r="K7" s="10">
        <v>196.72</v>
      </c>
      <c r="L7" s="11">
        <v>7868.8</v>
      </c>
      <c r="M7" s="2" t="s">
        <v>95</v>
      </c>
      <c r="N7" s="2" t="s">
        <v>35</v>
      </c>
      <c r="O7" s="2">
        <v>33.28</v>
      </c>
      <c r="P7" s="12">
        <f t="shared" si="0"/>
        <v>1164.8</v>
      </c>
      <c r="Q7" s="2" t="s">
        <v>96</v>
      </c>
      <c r="R7" s="2" t="s">
        <v>37</v>
      </c>
      <c r="S7" s="9" t="s">
        <v>97</v>
      </c>
      <c r="T7" s="9" t="s">
        <v>39</v>
      </c>
      <c r="U7" s="9" t="s">
        <v>98</v>
      </c>
      <c r="V7" s="9">
        <v>1</v>
      </c>
      <c r="Y7" s="2" t="s">
        <v>99</v>
      </c>
      <c r="Z7" s="9" t="s">
        <v>42</v>
      </c>
      <c r="AA7" s="7" t="s">
        <v>100</v>
      </c>
      <c r="AB7" s="7" t="s">
        <v>44</v>
      </c>
      <c r="AC7" s="7" t="s">
        <v>45</v>
      </c>
      <c r="AD7" s="7" t="s">
        <v>101</v>
      </c>
      <c r="AE7" s="7" t="s">
        <v>102</v>
      </c>
      <c r="AG7" s="23">
        <v>233</v>
      </c>
      <c r="AH7" s="23" t="s">
        <v>99</v>
      </c>
      <c r="AI7" s="23" t="s">
        <v>1642</v>
      </c>
      <c r="AJ7" s="23" t="s">
        <v>45</v>
      </c>
      <c r="AK7" s="23" t="s">
        <v>102</v>
      </c>
      <c r="AL7" s="23">
        <v>0.42359999999999998</v>
      </c>
      <c r="AM7" s="24">
        <f t="shared" si="1"/>
        <v>6189992.2463999996</v>
      </c>
      <c r="AN7" s="23"/>
      <c r="AO7" s="25">
        <v>1461282400</v>
      </c>
      <c r="AP7" s="23"/>
      <c r="AQ7" s="1" t="s">
        <v>27</v>
      </c>
      <c r="AR7" s="23"/>
      <c r="AS7" s="23"/>
      <c r="AT7" s="28">
        <v>6189992.2463999996</v>
      </c>
      <c r="AU7" s="28">
        <v>5023888.8912000004</v>
      </c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</row>
    <row r="8" spans="1:182" s="9" customFormat="1" x14ac:dyDescent="0.2">
      <c r="A8" s="2" t="s">
        <v>31</v>
      </c>
      <c r="B8" s="1" t="s">
        <v>103</v>
      </c>
      <c r="C8" s="1" t="s">
        <v>27</v>
      </c>
      <c r="D8" s="1" t="s">
        <v>28</v>
      </c>
      <c r="E8" s="8">
        <v>43370</v>
      </c>
      <c r="F8" s="9" t="s">
        <v>29</v>
      </c>
      <c r="G8" s="2" t="s">
        <v>104</v>
      </c>
      <c r="H8" s="2" t="s">
        <v>103</v>
      </c>
      <c r="I8" s="2" t="s">
        <v>105</v>
      </c>
      <c r="J8" s="2" t="s">
        <v>33</v>
      </c>
      <c r="K8" s="10">
        <v>127.76</v>
      </c>
      <c r="L8" s="11">
        <v>5110.4000000000005</v>
      </c>
      <c r="M8" s="2" t="s">
        <v>106</v>
      </c>
      <c r="N8" s="2" t="s">
        <v>35</v>
      </c>
      <c r="O8" s="2">
        <v>32.4</v>
      </c>
      <c r="P8" s="12">
        <f t="shared" si="0"/>
        <v>1134</v>
      </c>
      <c r="Q8" s="2" t="s">
        <v>107</v>
      </c>
      <c r="R8" s="2" t="s">
        <v>37</v>
      </c>
      <c r="S8" s="9" t="s">
        <v>108</v>
      </c>
      <c r="T8" s="9" t="s">
        <v>39</v>
      </c>
      <c r="U8" s="9" t="s">
        <v>109</v>
      </c>
      <c r="V8" s="9">
        <v>1</v>
      </c>
      <c r="Y8" s="2" t="s">
        <v>110</v>
      </c>
      <c r="Z8" s="9" t="s">
        <v>42</v>
      </c>
      <c r="AA8" s="7" t="s">
        <v>111</v>
      </c>
      <c r="AB8" s="7" t="s">
        <v>44</v>
      </c>
      <c r="AC8" s="7" t="s">
        <v>45</v>
      </c>
      <c r="AD8" s="7" t="s">
        <v>112</v>
      </c>
      <c r="AE8" s="7" t="s">
        <v>113</v>
      </c>
      <c r="AG8" s="23">
        <v>234</v>
      </c>
      <c r="AH8" s="23" t="s">
        <v>110</v>
      </c>
      <c r="AI8" s="23" t="s">
        <v>1642</v>
      </c>
      <c r="AJ8" s="23" t="s">
        <v>45</v>
      </c>
      <c r="AK8" s="23" t="s">
        <v>113</v>
      </c>
      <c r="AL8" s="23">
        <v>0.29270000000000002</v>
      </c>
      <c r="AM8" s="24">
        <f t="shared" si="1"/>
        <v>4277173.5848000003</v>
      </c>
      <c r="AN8" s="23"/>
      <c r="AO8" s="25">
        <v>1461282400</v>
      </c>
      <c r="AP8" s="23"/>
      <c r="AQ8" s="1" t="s">
        <v>27</v>
      </c>
      <c r="AR8" s="23"/>
      <c r="AS8" s="23"/>
      <c r="AT8" s="28">
        <v>4277173.5848000003</v>
      </c>
      <c r="AU8" s="28">
        <v>4601578.2775999997</v>
      </c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</row>
    <row r="9" spans="1:182" s="9" customFormat="1" x14ac:dyDescent="0.2">
      <c r="A9" s="2" t="s">
        <v>31</v>
      </c>
      <c r="B9" s="1" t="s">
        <v>114</v>
      </c>
      <c r="C9" s="1" t="s">
        <v>27</v>
      </c>
      <c r="D9" s="1" t="s">
        <v>28</v>
      </c>
      <c r="E9" s="8">
        <v>43370</v>
      </c>
      <c r="F9" s="9" t="s">
        <v>29</v>
      </c>
      <c r="G9" s="2" t="s">
        <v>115</v>
      </c>
      <c r="H9" s="2" t="s">
        <v>114</v>
      </c>
      <c r="I9" s="2" t="s">
        <v>116</v>
      </c>
      <c r="J9" s="2" t="s">
        <v>33</v>
      </c>
      <c r="K9" s="10">
        <v>165.44</v>
      </c>
      <c r="L9" s="11">
        <v>6617.6</v>
      </c>
      <c r="M9" s="2" t="s">
        <v>117</v>
      </c>
      <c r="N9" s="2" t="s">
        <v>35</v>
      </c>
      <c r="O9" s="2">
        <v>34</v>
      </c>
      <c r="P9" s="12">
        <f t="shared" si="0"/>
        <v>1190</v>
      </c>
      <c r="Q9" s="2" t="s">
        <v>118</v>
      </c>
      <c r="R9" s="2" t="s">
        <v>37</v>
      </c>
      <c r="S9" s="9" t="s">
        <v>119</v>
      </c>
      <c r="T9" s="9" t="s">
        <v>39</v>
      </c>
      <c r="U9" s="9" t="s">
        <v>120</v>
      </c>
      <c r="V9" s="9">
        <v>1</v>
      </c>
      <c r="Y9" s="2" t="s">
        <v>121</v>
      </c>
      <c r="Z9" s="9" t="s">
        <v>42</v>
      </c>
      <c r="AA9" s="7" t="s">
        <v>122</v>
      </c>
      <c r="AB9" s="7" t="s">
        <v>44</v>
      </c>
      <c r="AC9" s="7" t="s">
        <v>45</v>
      </c>
      <c r="AD9" s="7" t="s">
        <v>123</v>
      </c>
      <c r="AE9" s="7" t="s">
        <v>124</v>
      </c>
      <c r="AG9" s="23">
        <v>235</v>
      </c>
      <c r="AH9" s="23" t="s">
        <v>121</v>
      </c>
      <c r="AI9" s="23" t="s">
        <v>1642</v>
      </c>
      <c r="AJ9" s="23" t="s">
        <v>45</v>
      </c>
      <c r="AK9" s="23" t="s">
        <v>124</v>
      </c>
      <c r="AL9" s="23">
        <v>0.31190000000000001</v>
      </c>
      <c r="AM9" s="24">
        <f t="shared" si="1"/>
        <v>4557739.8055999996</v>
      </c>
      <c r="AN9" s="23"/>
      <c r="AO9" s="25">
        <v>1461282400</v>
      </c>
      <c r="AP9" s="23"/>
      <c r="AQ9" s="1" t="s">
        <v>27</v>
      </c>
      <c r="AR9" s="23"/>
      <c r="AS9" s="23"/>
      <c r="AT9" s="28">
        <v>4557739.8055999996</v>
      </c>
      <c r="AU9" s="28">
        <v>6032173.7472000001</v>
      </c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</row>
    <row r="10" spans="1:182" s="9" customFormat="1" x14ac:dyDescent="0.2">
      <c r="A10" s="2" t="s">
        <v>31</v>
      </c>
      <c r="B10" s="1" t="s">
        <v>125</v>
      </c>
      <c r="C10" s="1" t="s">
        <v>27</v>
      </c>
      <c r="D10" s="1" t="s">
        <v>28</v>
      </c>
      <c r="E10" s="8">
        <v>43370</v>
      </c>
      <c r="F10" s="9" t="s">
        <v>29</v>
      </c>
      <c r="G10" s="2" t="s">
        <v>126</v>
      </c>
      <c r="H10" s="2" t="s">
        <v>125</v>
      </c>
      <c r="I10" s="2" t="s">
        <v>127</v>
      </c>
      <c r="J10" s="2" t="s">
        <v>33</v>
      </c>
      <c r="K10" s="10">
        <v>175.68</v>
      </c>
      <c r="L10" s="11">
        <v>7027.2000000000007</v>
      </c>
      <c r="M10" s="2" t="s">
        <v>128</v>
      </c>
      <c r="N10" s="2" t="s">
        <v>35</v>
      </c>
      <c r="O10" s="2">
        <v>33.6</v>
      </c>
      <c r="P10" s="12">
        <f t="shared" si="0"/>
        <v>1176</v>
      </c>
      <c r="Q10" s="2" t="s">
        <v>129</v>
      </c>
      <c r="R10" s="2" t="s">
        <v>37</v>
      </c>
      <c r="S10" s="9" t="s">
        <v>130</v>
      </c>
      <c r="T10" s="9" t="s">
        <v>39</v>
      </c>
      <c r="U10" s="9" t="s">
        <v>40</v>
      </c>
      <c r="V10" s="9">
        <v>2</v>
      </c>
      <c r="Y10" s="2" t="s">
        <v>131</v>
      </c>
      <c r="Z10" s="9" t="s">
        <v>42</v>
      </c>
      <c r="AA10" s="7" t="s">
        <v>132</v>
      </c>
      <c r="AB10" s="7" t="s">
        <v>133</v>
      </c>
      <c r="AC10" s="7" t="s">
        <v>134</v>
      </c>
      <c r="AD10" s="7" t="s">
        <v>46</v>
      </c>
      <c r="AE10" s="7" t="s">
        <v>47</v>
      </c>
      <c r="AG10" s="23">
        <v>236</v>
      </c>
      <c r="AH10" s="23" t="s">
        <v>131</v>
      </c>
      <c r="AI10" s="23" t="s">
        <v>1642</v>
      </c>
      <c r="AJ10" s="23" t="s">
        <v>134</v>
      </c>
      <c r="AK10" s="23" t="s">
        <v>47</v>
      </c>
      <c r="AL10" s="23">
        <v>0.3931</v>
      </c>
      <c r="AM10" s="24">
        <f t="shared" si="1"/>
        <v>5744301.1144000003</v>
      </c>
      <c r="AN10" s="23"/>
      <c r="AO10" s="25">
        <v>1461282400</v>
      </c>
      <c r="AP10" s="23"/>
      <c r="AQ10" s="1" t="s">
        <v>27</v>
      </c>
      <c r="AR10" s="23"/>
      <c r="AS10" s="23"/>
      <c r="AT10" s="28">
        <v>5744301.1144000003</v>
      </c>
      <c r="AU10" s="28">
        <v>4798851.4016000004</v>
      </c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</row>
    <row r="11" spans="1:182" s="9" customFormat="1" x14ac:dyDescent="0.2">
      <c r="A11" s="2" t="s">
        <v>31</v>
      </c>
      <c r="B11" s="1" t="s">
        <v>135</v>
      </c>
      <c r="C11" s="1" t="s">
        <v>27</v>
      </c>
      <c r="D11" s="1" t="s">
        <v>28</v>
      </c>
      <c r="E11" s="8">
        <v>43370</v>
      </c>
      <c r="F11" s="9" t="s">
        <v>29</v>
      </c>
      <c r="G11" s="2" t="s">
        <v>136</v>
      </c>
      <c r="H11" s="2" t="s">
        <v>135</v>
      </c>
      <c r="I11" s="2" t="s">
        <v>137</v>
      </c>
      <c r="J11" s="2" t="s">
        <v>33</v>
      </c>
      <c r="K11" s="10">
        <v>171.12</v>
      </c>
      <c r="L11" s="11">
        <v>3436.8</v>
      </c>
      <c r="M11" s="2" t="s">
        <v>138</v>
      </c>
      <c r="N11" s="2" t="s">
        <v>35</v>
      </c>
      <c r="O11" s="2">
        <v>22.16</v>
      </c>
      <c r="P11" s="12">
        <f t="shared" si="0"/>
        <v>775.6</v>
      </c>
      <c r="Q11" s="2" t="s">
        <v>139</v>
      </c>
      <c r="R11" s="2" t="s">
        <v>37</v>
      </c>
      <c r="S11" s="9" t="s">
        <v>140</v>
      </c>
      <c r="T11" s="9" t="s">
        <v>39</v>
      </c>
      <c r="U11" s="9" t="s">
        <v>54</v>
      </c>
      <c r="V11" s="9">
        <v>2</v>
      </c>
      <c r="Y11" s="2" t="s">
        <v>141</v>
      </c>
      <c r="Z11" s="9" t="s">
        <v>42</v>
      </c>
      <c r="AA11" s="7" t="s">
        <v>142</v>
      </c>
      <c r="AB11" s="7" t="s">
        <v>133</v>
      </c>
      <c r="AC11" s="7" t="s">
        <v>134</v>
      </c>
      <c r="AD11" s="7" t="s">
        <v>57</v>
      </c>
      <c r="AE11" s="7" t="s">
        <v>58</v>
      </c>
      <c r="AG11" s="23">
        <v>237</v>
      </c>
      <c r="AH11" s="23" t="s">
        <v>141</v>
      </c>
      <c r="AI11" s="23" t="s">
        <v>1642</v>
      </c>
      <c r="AJ11" s="23" t="s">
        <v>134</v>
      </c>
      <c r="AK11" s="23" t="s">
        <v>58</v>
      </c>
      <c r="AL11" s="23">
        <v>0.27339999999999998</v>
      </c>
      <c r="AM11" s="24">
        <f t="shared" si="1"/>
        <v>3995146.0815999997</v>
      </c>
      <c r="AN11" s="23"/>
      <c r="AO11" s="25">
        <v>1461282400</v>
      </c>
      <c r="AP11" s="23"/>
      <c r="AQ11" s="1" t="s">
        <v>27</v>
      </c>
      <c r="AR11" s="23"/>
      <c r="AS11" s="23"/>
      <c r="AT11" s="28">
        <v>3995146.0815999997</v>
      </c>
      <c r="AU11" s="28">
        <v>4917215.2760000005</v>
      </c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</row>
    <row r="12" spans="1:182" s="9" customFormat="1" x14ac:dyDescent="0.2">
      <c r="A12" s="2" t="s">
        <v>31</v>
      </c>
      <c r="B12" s="1" t="s">
        <v>143</v>
      </c>
      <c r="C12" s="1" t="s">
        <v>27</v>
      </c>
      <c r="D12" s="1" t="s">
        <v>28</v>
      </c>
      <c r="E12" s="8">
        <v>43370</v>
      </c>
      <c r="F12" s="9" t="s">
        <v>29</v>
      </c>
      <c r="G12" s="2" t="s">
        <v>144</v>
      </c>
      <c r="H12" s="2" t="s">
        <v>143</v>
      </c>
      <c r="I12" s="2" t="s">
        <v>145</v>
      </c>
      <c r="J12" s="2" t="s">
        <v>33</v>
      </c>
      <c r="K12" s="10">
        <v>154.4</v>
      </c>
      <c r="L12" s="11">
        <v>6176</v>
      </c>
      <c r="M12" s="2" t="s">
        <v>146</v>
      </c>
      <c r="N12" s="2" t="s">
        <v>35</v>
      </c>
      <c r="O12" s="2">
        <v>30.72</v>
      </c>
      <c r="P12" s="12">
        <f t="shared" si="0"/>
        <v>1075.2</v>
      </c>
      <c r="Q12" s="2" t="s">
        <v>147</v>
      </c>
      <c r="R12" s="2" t="s">
        <v>37</v>
      </c>
      <c r="S12" s="9" t="s">
        <v>148</v>
      </c>
      <c r="T12" s="9" t="s">
        <v>39</v>
      </c>
      <c r="U12" s="9" t="s">
        <v>65</v>
      </c>
      <c r="V12" s="9">
        <v>2</v>
      </c>
      <c r="Y12" s="2" t="s">
        <v>149</v>
      </c>
      <c r="Z12" s="9" t="s">
        <v>42</v>
      </c>
      <c r="AA12" s="7" t="s">
        <v>150</v>
      </c>
      <c r="AB12" s="7" t="s">
        <v>133</v>
      </c>
      <c r="AC12" s="7" t="s">
        <v>134</v>
      </c>
      <c r="AD12" s="7" t="s">
        <v>68</v>
      </c>
      <c r="AE12" s="7" t="s">
        <v>69</v>
      </c>
      <c r="AG12" s="23">
        <v>238</v>
      </c>
      <c r="AH12" s="23" t="s">
        <v>149</v>
      </c>
      <c r="AI12" s="23" t="s">
        <v>1642</v>
      </c>
      <c r="AJ12" s="23" t="s">
        <v>134</v>
      </c>
      <c r="AK12" s="23" t="s">
        <v>69</v>
      </c>
      <c r="AL12" s="23">
        <v>0.39290000000000003</v>
      </c>
      <c r="AM12" s="24">
        <f t="shared" si="1"/>
        <v>5741378.5496000005</v>
      </c>
      <c r="AN12" s="23"/>
      <c r="AO12" s="25">
        <v>1461282400</v>
      </c>
      <c r="AP12" s="23"/>
      <c r="AQ12" s="1" t="s">
        <v>27</v>
      </c>
      <c r="AR12" s="23"/>
      <c r="AS12" s="23"/>
      <c r="AT12" s="28">
        <v>5741378.5496000005</v>
      </c>
      <c r="AU12" s="28">
        <v>3279117.7056</v>
      </c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</row>
    <row r="13" spans="1:182" s="9" customFormat="1" x14ac:dyDescent="0.2">
      <c r="A13" s="2" t="s">
        <v>31</v>
      </c>
      <c r="B13" s="1" t="s">
        <v>151</v>
      </c>
      <c r="C13" s="1" t="s">
        <v>27</v>
      </c>
      <c r="D13" s="1" t="s">
        <v>28</v>
      </c>
      <c r="E13" s="8">
        <v>43370</v>
      </c>
      <c r="F13" s="9" t="s">
        <v>29</v>
      </c>
      <c r="G13" s="2" t="s">
        <v>152</v>
      </c>
      <c r="H13" s="2" t="s">
        <v>151</v>
      </c>
      <c r="I13" s="2" t="s">
        <v>153</v>
      </c>
      <c r="J13" s="2" t="s">
        <v>33</v>
      </c>
      <c r="K13" s="10">
        <v>275.76</v>
      </c>
      <c r="L13" s="11">
        <v>11030.4</v>
      </c>
      <c r="M13" s="2" t="s">
        <v>154</v>
      </c>
      <c r="N13" s="2" t="s">
        <v>35</v>
      </c>
      <c r="O13" s="2">
        <v>32.159999999999997</v>
      </c>
      <c r="P13" s="12">
        <f t="shared" si="0"/>
        <v>1125.5999999999999</v>
      </c>
      <c r="Q13" s="2" t="s">
        <v>155</v>
      </c>
      <c r="R13" s="2" t="s">
        <v>37</v>
      </c>
      <c r="S13" s="9" t="s">
        <v>156</v>
      </c>
      <c r="T13" s="9" t="s">
        <v>39</v>
      </c>
      <c r="U13" s="9" t="s">
        <v>76</v>
      </c>
      <c r="V13" s="9">
        <v>2</v>
      </c>
      <c r="Y13" s="2" t="s">
        <v>157</v>
      </c>
      <c r="Z13" s="9" t="s">
        <v>42</v>
      </c>
      <c r="AA13" s="7" t="s">
        <v>158</v>
      </c>
      <c r="AB13" s="7" t="s">
        <v>133</v>
      </c>
      <c r="AC13" s="7" t="s">
        <v>134</v>
      </c>
      <c r="AD13" s="7" t="s">
        <v>79</v>
      </c>
      <c r="AE13" s="7" t="s">
        <v>80</v>
      </c>
      <c r="AG13" s="23">
        <v>239</v>
      </c>
      <c r="AH13" s="23" t="s">
        <v>157</v>
      </c>
      <c r="AI13" s="23" t="s">
        <v>1642</v>
      </c>
      <c r="AJ13" s="23" t="s">
        <v>134</v>
      </c>
      <c r="AK13" s="23" t="s">
        <v>80</v>
      </c>
      <c r="AL13" s="23">
        <v>8.3000000000000001E-3</v>
      </c>
      <c r="AM13" s="24">
        <f t="shared" si="1"/>
        <v>121286.43919999999</v>
      </c>
      <c r="AN13" s="23"/>
      <c r="AO13" s="25">
        <v>1461282400</v>
      </c>
      <c r="AP13" s="23"/>
      <c r="AQ13" s="1" t="s">
        <v>27</v>
      </c>
      <c r="AR13" s="23"/>
      <c r="AS13" s="23"/>
      <c r="AT13" s="28">
        <v>121286.43919999999</v>
      </c>
      <c r="AU13" s="28">
        <v>3927927.0912000001</v>
      </c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</row>
    <row r="14" spans="1:182" s="9" customFormat="1" x14ac:dyDescent="0.2">
      <c r="A14" s="2" t="s">
        <v>31</v>
      </c>
      <c r="B14" s="1" t="s">
        <v>159</v>
      </c>
      <c r="C14" s="1" t="s">
        <v>27</v>
      </c>
      <c r="D14" s="1" t="s">
        <v>28</v>
      </c>
      <c r="E14" s="8">
        <v>43370</v>
      </c>
      <c r="F14" s="9" t="s">
        <v>29</v>
      </c>
      <c r="G14" s="2" t="s">
        <v>160</v>
      </c>
      <c r="H14" s="2" t="s">
        <v>159</v>
      </c>
      <c r="I14" s="2" t="s">
        <v>161</v>
      </c>
      <c r="J14" s="2" t="s">
        <v>33</v>
      </c>
      <c r="K14" s="10">
        <v>261.12</v>
      </c>
      <c r="L14" s="11">
        <v>10444.799999999999</v>
      </c>
      <c r="M14" s="2" t="s">
        <v>162</v>
      </c>
      <c r="N14" s="2" t="s">
        <v>35</v>
      </c>
      <c r="O14" s="2">
        <v>33.36</v>
      </c>
      <c r="P14" s="12">
        <f t="shared" si="0"/>
        <v>1167.5999999999999</v>
      </c>
      <c r="Q14" s="2" t="s">
        <v>163</v>
      </c>
      <c r="R14" s="2" t="s">
        <v>37</v>
      </c>
      <c r="S14" s="9" t="s">
        <v>164</v>
      </c>
      <c r="T14" s="9" t="s">
        <v>39</v>
      </c>
      <c r="U14" s="9" t="s">
        <v>87</v>
      </c>
      <c r="V14" s="9">
        <v>2</v>
      </c>
      <c r="Y14" s="2" t="s">
        <v>165</v>
      </c>
      <c r="Z14" s="9" t="s">
        <v>42</v>
      </c>
      <c r="AA14" s="7" t="s">
        <v>166</v>
      </c>
      <c r="AB14" s="7" t="s">
        <v>133</v>
      </c>
      <c r="AC14" s="7" t="s">
        <v>134</v>
      </c>
      <c r="AD14" s="7" t="s">
        <v>90</v>
      </c>
      <c r="AE14" s="7" t="s">
        <v>91</v>
      </c>
      <c r="AG14" s="23">
        <v>240</v>
      </c>
      <c r="AH14" s="23" t="s">
        <v>165</v>
      </c>
      <c r="AI14" s="23" t="s">
        <v>1642</v>
      </c>
      <c r="AJ14" s="23" t="s">
        <v>134</v>
      </c>
      <c r="AK14" s="23" t="s">
        <v>91</v>
      </c>
      <c r="AL14" s="23">
        <v>0.36849999999999999</v>
      </c>
      <c r="AM14" s="24">
        <f t="shared" si="1"/>
        <v>5384825.6439999994</v>
      </c>
      <c r="AN14" s="23"/>
      <c r="AO14" s="25">
        <v>1461282400</v>
      </c>
      <c r="AP14" s="23"/>
      <c r="AQ14" s="1" t="s">
        <v>27</v>
      </c>
      <c r="AR14" s="23"/>
      <c r="AS14" s="23"/>
      <c r="AT14" s="28">
        <v>5384825.6439999994</v>
      </c>
      <c r="AU14" s="28">
        <v>6036557.5944000008</v>
      </c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</row>
    <row r="15" spans="1:182" s="9" customFormat="1" x14ac:dyDescent="0.2">
      <c r="A15" s="2" t="s">
        <v>31</v>
      </c>
      <c r="B15" s="1" t="s">
        <v>167</v>
      </c>
      <c r="C15" s="1" t="s">
        <v>27</v>
      </c>
      <c r="D15" s="1" t="s">
        <v>28</v>
      </c>
      <c r="E15" s="8">
        <v>43370</v>
      </c>
      <c r="F15" s="9" t="s">
        <v>29</v>
      </c>
      <c r="G15" s="2" t="s">
        <v>168</v>
      </c>
      <c r="H15" s="2" t="s">
        <v>167</v>
      </c>
      <c r="I15" s="2" t="s">
        <v>169</v>
      </c>
      <c r="J15" s="2" t="s">
        <v>33</v>
      </c>
      <c r="K15" s="10">
        <v>145.28</v>
      </c>
      <c r="L15" s="11">
        <v>5811.2</v>
      </c>
      <c r="M15" s="2" t="s">
        <v>170</v>
      </c>
      <c r="N15" s="2" t="s">
        <v>35</v>
      </c>
      <c r="O15" s="2">
        <v>32.479999999999997</v>
      </c>
      <c r="P15" s="12">
        <f t="shared" si="0"/>
        <v>1136.8</v>
      </c>
      <c r="Q15" s="2" t="s">
        <v>171</v>
      </c>
      <c r="R15" s="2" t="s">
        <v>37</v>
      </c>
      <c r="S15" s="9" t="s">
        <v>172</v>
      </c>
      <c r="T15" s="9" t="s">
        <v>39</v>
      </c>
      <c r="U15" s="9" t="s">
        <v>98</v>
      </c>
      <c r="V15" s="9">
        <v>2</v>
      </c>
      <c r="Y15" s="2" t="s">
        <v>173</v>
      </c>
      <c r="Z15" s="9" t="s">
        <v>42</v>
      </c>
      <c r="AA15" s="7" t="s">
        <v>174</v>
      </c>
      <c r="AB15" s="7" t="s">
        <v>133</v>
      </c>
      <c r="AC15" s="7" t="s">
        <v>134</v>
      </c>
      <c r="AD15" s="7" t="s">
        <v>101</v>
      </c>
      <c r="AE15" s="7" t="s">
        <v>102</v>
      </c>
      <c r="AG15" s="23">
        <v>241</v>
      </c>
      <c r="AH15" s="23" t="s">
        <v>173</v>
      </c>
      <c r="AI15" s="23" t="s">
        <v>1642</v>
      </c>
      <c r="AJ15" s="23" t="s">
        <v>134</v>
      </c>
      <c r="AK15" s="23" t="s">
        <v>102</v>
      </c>
      <c r="AL15" s="23">
        <v>0.36930000000000002</v>
      </c>
      <c r="AM15" s="24">
        <f t="shared" si="1"/>
        <v>5396515.9032000005</v>
      </c>
      <c r="AN15" s="23"/>
      <c r="AO15" s="25">
        <v>1461282400</v>
      </c>
      <c r="AP15" s="23"/>
      <c r="AQ15" s="1" t="s">
        <v>27</v>
      </c>
      <c r="AR15" s="23"/>
      <c r="AS15" s="23"/>
      <c r="AT15" s="28">
        <v>5396515.9032000005</v>
      </c>
      <c r="AU15" s="28">
        <v>3580141.88</v>
      </c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</row>
    <row r="16" spans="1:182" s="9" customFormat="1" x14ac:dyDescent="0.2">
      <c r="A16" s="2" t="s">
        <v>31</v>
      </c>
      <c r="B16" s="1" t="s">
        <v>175</v>
      </c>
      <c r="C16" s="1" t="s">
        <v>27</v>
      </c>
      <c r="D16" s="1" t="s">
        <v>28</v>
      </c>
      <c r="E16" s="8">
        <v>43370</v>
      </c>
      <c r="F16" s="9" t="s">
        <v>29</v>
      </c>
      <c r="G16" s="2" t="s">
        <v>176</v>
      </c>
      <c r="H16" s="2" t="s">
        <v>175</v>
      </c>
      <c r="I16" s="2" t="s">
        <v>177</v>
      </c>
      <c r="J16" s="2" t="s">
        <v>33</v>
      </c>
      <c r="K16" s="10">
        <v>263.68</v>
      </c>
      <c r="L16" s="11">
        <v>10547.2</v>
      </c>
      <c r="M16" s="2" t="s">
        <v>178</v>
      </c>
      <c r="N16" s="2" t="s">
        <v>35</v>
      </c>
      <c r="O16" s="2">
        <v>33.6</v>
      </c>
      <c r="P16" s="12">
        <f t="shared" si="0"/>
        <v>1176</v>
      </c>
      <c r="Q16" s="2" t="s">
        <v>179</v>
      </c>
      <c r="R16" s="2" t="s">
        <v>37</v>
      </c>
      <c r="S16" s="9" t="s">
        <v>180</v>
      </c>
      <c r="T16" s="9" t="s">
        <v>39</v>
      </c>
      <c r="U16" s="9" t="s">
        <v>109</v>
      </c>
      <c r="V16" s="9">
        <v>2</v>
      </c>
      <c r="Y16" s="2" t="s">
        <v>181</v>
      </c>
      <c r="Z16" s="9" t="s">
        <v>42</v>
      </c>
      <c r="AA16" s="7" t="s">
        <v>182</v>
      </c>
      <c r="AB16" s="7" t="s">
        <v>133</v>
      </c>
      <c r="AC16" s="7" t="s">
        <v>134</v>
      </c>
      <c r="AD16" s="7" t="s">
        <v>112</v>
      </c>
      <c r="AE16" s="7" t="s">
        <v>113</v>
      </c>
      <c r="AG16" s="23">
        <v>242</v>
      </c>
      <c r="AH16" s="23" t="s">
        <v>181</v>
      </c>
      <c r="AI16" s="23" t="s">
        <v>1642</v>
      </c>
      <c r="AJ16" s="23" t="s">
        <v>134</v>
      </c>
      <c r="AK16" s="23" t="s">
        <v>113</v>
      </c>
      <c r="AL16" s="23">
        <v>0.20930000000000001</v>
      </c>
      <c r="AM16" s="24">
        <f t="shared" si="1"/>
        <v>3058464.0631999997</v>
      </c>
      <c r="AN16" s="23"/>
      <c r="AO16" s="25">
        <v>1461282400</v>
      </c>
      <c r="AP16" s="23"/>
      <c r="AQ16" s="1" t="s">
        <v>27</v>
      </c>
      <c r="AR16" s="23"/>
      <c r="AS16" s="23"/>
      <c r="AT16" s="28">
        <v>3058464.0631999997</v>
      </c>
      <c r="AU16" s="28">
        <v>6806653.4191999994</v>
      </c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</row>
    <row r="17" spans="1:182" s="9" customFormat="1" x14ac:dyDescent="0.2">
      <c r="A17" s="2" t="s">
        <v>31</v>
      </c>
      <c r="B17" s="1" t="s">
        <v>183</v>
      </c>
      <c r="C17" s="1" t="s">
        <v>27</v>
      </c>
      <c r="D17" s="1" t="s">
        <v>28</v>
      </c>
      <c r="E17" s="8">
        <v>43370</v>
      </c>
      <c r="F17" s="9" t="s">
        <v>29</v>
      </c>
      <c r="G17" s="2" t="s">
        <v>184</v>
      </c>
      <c r="H17" s="2" t="s">
        <v>183</v>
      </c>
      <c r="I17" s="2" t="s">
        <v>185</v>
      </c>
      <c r="J17" s="2" t="s">
        <v>33</v>
      </c>
      <c r="K17" s="10">
        <v>258.64</v>
      </c>
      <c r="L17" s="11">
        <v>10345.599999999999</v>
      </c>
      <c r="M17" s="2" t="s">
        <v>186</v>
      </c>
      <c r="N17" s="2" t="s">
        <v>35</v>
      </c>
      <c r="O17" s="2">
        <v>32.24</v>
      </c>
      <c r="P17" s="12">
        <f t="shared" si="0"/>
        <v>1128.4000000000001</v>
      </c>
      <c r="Q17" s="2" t="s">
        <v>187</v>
      </c>
      <c r="R17" s="2" t="s">
        <v>37</v>
      </c>
      <c r="S17" s="9" t="s">
        <v>188</v>
      </c>
      <c r="T17" s="9" t="s">
        <v>39</v>
      </c>
      <c r="U17" s="9" t="s">
        <v>120</v>
      </c>
      <c r="V17" s="9">
        <v>2</v>
      </c>
      <c r="Y17" s="2" t="s">
        <v>189</v>
      </c>
      <c r="Z17" s="9" t="s">
        <v>42</v>
      </c>
      <c r="AA17" s="7" t="s">
        <v>190</v>
      </c>
      <c r="AB17" s="7" t="s">
        <v>133</v>
      </c>
      <c r="AC17" s="7" t="s">
        <v>134</v>
      </c>
      <c r="AD17" s="7" t="s">
        <v>123</v>
      </c>
      <c r="AE17" s="7" t="s">
        <v>124</v>
      </c>
      <c r="AG17" s="23">
        <v>243</v>
      </c>
      <c r="AH17" s="23" t="s">
        <v>189</v>
      </c>
      <c r="AI17" s="23" t="s">
        <v>1642</v>
      </c>
      <c r="AJ17" s="23" t="s">
        <v>134</v>
      </c>
      <c r="AK17" s="23" t="s">
        <v>124</v>
      </c>
      <c r="AL17" s="23">
        <v>0.23549999999999999</v>
      </c>
      <c r="AM17" s="24">
        <f t="shared" si="1"/>
        <v>3441320.0519999997</v>
      </c>
      <c r="AN17" s="23"/>
      <c r="AO17" s="25">
        <v>1461282400</v>
      </c>
      <c r="AP17" s="23"/>
      <c r="AQ17" s="1" t="s">
        <v>27</v>
      </c>
      <c r="AR17" s="23"/>
      <c r="AS17" s="23"/>
      <c r="AT17" s="28">
        <v>3441320.0519999997</v>
      </c>
      <c r="AU17" s="28">
        <v>5684388.5360000003</v>
      </c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</row>
    <row r="18" spans="1:182" s="9" customFormat="1" x14ac:dyDescent="0.2">
      <c r="A18" s="2" t="s">
        <v>31</v>
      </c>
      <c r="B18" s="1" t="s">
        <v>191</v>
      </c>
      <c r="C18" s="1" t="s">
        <v>27</v>
      </c>
      <c r="D18" s="1" t="s">
        <v>28</v>
      </c>
      <c r="E18" s="8">
        <v>43370</v>
      </c>
      <c r="F18" s="9" t="s">
        <v>29</v>
      </c>
      <c r="G18" s="2" t="s">
        <v>192</v>
      </c>
      <c r="H18" s="2" t="s">
        <v>191</v>
      </c>
      <c r="I18" s="2" t="s">
        <v>193</v>
      </c>
      <c r="J18" s="2" t="s">
        <v>33</v>
      </c>
      <c r="K18" s="10">
        <v>167.68</v>
      </c>
      <c r="L18" s="11">
        <v>6707.2000000000007</v>
      </c>
      <c r="M18" s="2" t="s">
        <v>194</v>
      </c>
      <c r="N18" s="2" t="s">
        <v>35</v>
      </c>
      <c r="O18" s="2">
        <v>30.72</v>
      </c>
      <c r="P18" s="12">
        <f t="shared" si="0"/>
        <v>1075.2</v>
      </c>
      <c r="Q18" s="2" t="s">
        <v>195</v>
      </c>
      <c r="R18" s="2" t="s">
        <v>37</v>
      </c>
      <c r="S18" s="9" t="s">
        <v>196</v>
      </c>
      <c r="T18" s="9" t="s">
        <v>39</v>
      </c>
      <c r="U18" s="9" t="s">
        <v>40</v>
      </c>
      <c r="V18" s="9">
        <v>3</v>
      </c>
      <c r="Y18" s="2" t="s">
        <v>197</v>
      </c>
      <c r="Z18" s="9" t="s">
        <v>42</v>
      </c>
      <c r="AA18" s="7" t="s">
        <v>198</v>
      </c>
      <c r="AB18" s="7" t="s">
        <v>199</v>
      </c>
      <c r="AC18" s="7" t="s">
        <v>200</v>
      </c>
      <c r="AD18" s="7" t="s">
        <v>46</v>
      </c>
      <c r="AE18" s="7" t="s">
        <v>47</v>
      </c>
      <c r="AG18" s="23">
        <v>244</v>
      </c>
      <c r="AH18" s="23" t="s">
        <v>197</v>
      </c>
      <c r="AI18" s="23" t="s">
        <v>1642</v>
      </c>
      <c r="AJ18" s="23" t="s">
        <v>200</v>
      </c>
      <c r="AK18" s="23" t="s">
        <v>47</v>
      </c>
      <c r="AL18" s="23">
        <v>0.30070000000000002</v>
      </c>
      <c r="AM18" s="24">
        <f t="shared" si="1"/>
        <v>4394076.1768000005</v>
      </c>
      <c r="AN18" s="23"/>
      <c r="AO18" s="25">
        <v>1461282400</v>
      </c>
      <c r="AP18" s="23"/>
      <c r="AQ18" s="1" t="s">
        <v>27</v>
      </c>
      <c r="AR18" s="23"/>
      <c r="AS18" s="23"/>
      <c r="AT18" s="28">
        <v>4394076.1768000005</v>
      </c>
      <c r="AU18" s="28">
        <v>6366807.4167999998</v>
      </c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</row>
    <row r="19" spans="1:182" s="9" customFormat="1" x14ac:dyDescent="0.2">
      <c r="A19" s="2" t="s">
        <v>31</v>
      </c>
      <c r="B19" s="1" t="s">
        <v>201</v>
      </c>
      <c r="C19" s="1" t="s">
        <v>27</v>
      </c>
      <c r="D19" s="1" t="s">
        <v>28</v>
      </c>
      <c r="E19" s="8">
        <v>43370</v>
      </c>
      <c r="F19" s="9" t="s">
        <v>29</v>
      </c>
      <c r="G19" s="2" t="s">
        <v>202</v>
      </c>
      <c r="H19" s="2" t="s">
        <v>201</v>
      </c>
      <c r="I19" s="2" t="s">
        <v>203</v>
      </c>
      <c r="J19" s="2" t="s">
        <v>33</v>
      </c>
      <c r="K19" s="10">
        <v>183.76</v>
      </c>
      <c r="L19" s="11">
        <v>7350.4</v>
      </c>
      <c r="M19" s="2" t="s">
        <v>204</v>
      </c>
      <c r="N19" s="2" t="s">
        <v>35</v>
      </c>
      <c r="O19" s="2">
        <v>30.64</v>
      </c>
      <c r="P19" s="12">
        <f t="shared" si="0"/>
        <v>1072.4000000000001</v>
      </c>
      <c r="Q19" s="2" t="s">
        <v>205</v>
      </c>
      <c r="R19" s="2" t="s">
        <v>37</v>
      </c>
      <c r="S19" s="9" t="s">
        <v>206</v>
      </c>
      <c r="T19" s="9" t="s">
        <v>39</v>
      </c>
      <c r="U19" s="9" t="s">
        <v>54</v>
      </c>
      <c r="V19" s="9">
        <v>3</v>
      </c>
      <c r="Y19" s="2" t="s">
        <v>207</v>
      </c>
      <c r="Z19" s="9" t="s">
        <v>42</v>
      </c>
      <c r="AA19" s="7" t="s">
        <v>208</v>
      </c>
      <c r="AB19" s="7" t="s">
        <v>199</v>
      </c>
      <c r="AC19" s="7" t="s">
        <v>200</v>
      </c>
      <c r="AD19" s="7" t="s">
        <v>57</v>
      </c>
      <c r="AE19" s="7" t="s">
        <v>58</v>
      </c>
      <c r="AG19" s="23">
        <v>245</v>
      </c>
      <c r="AH19" s="23" t="s">
        <v>207</v>
      </c>
      <c r="AI19" s="23" t="s">
        <v>1642</v>
      </c>
      <c r="AJ19" s="23" t="s">
        <v>200</v>
      </c>
      <c r="AK19" s="23" t="s">
        <v>58</v>
      </c>
      <c r="AL19" s="23">
        <v>0.27</v>
      </c>
      <c r="AM19" s="24">
        <f t="shared" si="1"/>
        <v>3945462.48</v>
      </c>
      <c r="AN19" s="23"/>
      <c r="AO19" s="25">
        <v>1461282400</v>
      </c>
      <c r="AP19" s="23"/>
      <c r="AQ19" s="1" t="s">
        <v>27</v>
      </c>
      <c r="AR19" s="23"/>
      <c r="AS19" s="23"/>
      <c r="AT19" s="28">
        <v>3945462.48</v>
      </c>
      <c r="AU19" s="28">
        <v>5643472.6288000001</v>
      </c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</row>
    <row r="20" spans="1:182" s="9" customFormat="1" x14ac:dyDescent="0.2">
      <c r="A20" s="2" t="s">
        <v>31</v>
      </c>
      <c r="B20" s="1" t="s">
        <v>209</v>
      </c>
      <c r="C20" s="1" t="s">
        <v>27</v>
      </c>
      <c r="D20" s="1" t="s">
        <v>28</v>
      </c>
      <c r="E20" s="8">
        <v>43370</v>
      </c>
      <c r="F20" s="9" t="s">
        <v>29</v>
      </c>
      <c r="G20" s="2" t="s">
        <v>210</v>
      </c>
      <c r="H20" s="2" t="s">
        <v>209</v>
      </c>
      <c r="I20" s="2" t="s">
        <v>211</v>
      </c>
      <c r="J20" s="2" t="s">
        <v>33</v>
      </c>
      <c r="K20" s="10">
        <v>248</v>
      </c>
      <c r="L20" s="11">
        <v>9920</v>
      </c>
      <c r="M20" s="2" t="s">
        <v>212</v>
      </c>
      <c r="N20" s="2" t="s">
        <v>35</v>
      </c>
      <c r="O20" s="2">
        <v>31.44</v>
      </c>
      <c r="P20" s="12">
        <f t="shared" si="0"/>
        <v>1100.4000000000001</v>
      </c>
      <c r="Q20" s="2" t="s">
        <v>213</v>
      </c>
      <c r="R20" s="2" t="s">
        <v>37</v>
      </c>
      <c r="S20" s="9" t="s">
        <v>214</v>
      </c>
      <c r="T20" s="9" t="s">
        <v>39</v>
      </c>
      <c r="U20" s="9" t="s">
        <v>65</v>
      </c>
      <c r="V20" s="9">
        <v>3</v>
      </c>
      <c r="Y20" s="2" t="s">
        <v>215</v>
      </c>
      <c r="Z20" s="9" t="s">
        <v>42</v>
      </c>
      <c r="AA20" s="7" t="s">
        <v>216</v>
      </c>
      <c r="AB20" s="7" t="s">
        <v>199</v>
      </c>
      <c r="AC20" s="7" t="s">
        <v>200</v>
      </c>
      <c r="AD20" s="7" t="s">
        <v>68</v>
      </c>
      <c r="AE20" s="7" t="s">
        <v>69</v>
      </c>
      <c r="AG20" s="23">
        <v>246</v>
      </c>
      <c r="AH20" s="23" t="s">
        <v>215</v>
      </c>
      <c r="AI20" s="23" t="s">
        <v>1642</v>
      </c>
      <c r="AJ20" s="23" t="s">
        <v>200</v>
      </c>
      <c r="AK20" s="23" t="s">
        <v>69</v>
      </c>
      <c r="AL20" s="23">
        <v>0.26979999999999998</v>
      </c>
      <c r="AM20" s="24">
        <f t="shared" si="1"/>
        <v>3942539.9151999997</v>
      </c>
      <c r="AN20" s="23"/>
      <c r="AO20" s="25">
        <v>1461282400</v>
      </c>
      <c r="AP20" s="23"/>
      <c r="AQ20" s="1" t="s">
        <v>27</v>
      </c>
      <c r="AR20" s="23"/>
      <c r="AS20" s="23"/>
      <c r="AT20" s="28">
        <v>3942539.9151999997</v>
      </c>
      <c r="AU20" s="28">
        <v>6368268.6992000006</v>
      </c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</row>
    <row r="21" spans="1:182" s="9" customFormat="1" x14ac:dyDescent="0.2">
      <c r="A21" s="2" t="s">
        <v>31</v>
      </c>
      <c r="B21" s="1" t="s">
        <v>217</v>
      </c>
      <c r="C21" s="1" t="s">
        <v>27</v>
      </c>
      <c r="D21" s="1" t="s">
        <v>28</v>
      </c>
      <c r="E21" s="8">
        <v>43370</v>
      </c>
      <c r="F21" s="9" t="s">
        <v>29</v>
      </c>
      <c r="G21" s="2" t="s">
        <v>218</v>
      </c>
      <c r="H21" s="2" t="s">
        <v>217</v>
      </c>
      <c r="I21" s="2" t="s">
        <v>219</v>
      </c>
      <c r="J21" s="2" t="s">
        <v>33</v>
      </c>
      <c r="K21" s="10">
        <v>191.68</v>
      </c>
      <c r="L21" s="11">
        <v>7667.2000000000007</v>
      </c>
      <c r="M21" s="2" t="s">
        <v>220</v>
      </c>
      <c r="N21" s="2" t="s">
        <v>35</v>
      </c>
      <c r="O21" s="2">
        <v>30.96</v>
      </c>
      <c r="P21" s="12">
        <f t="shared" si="0"/>
        <v>1083.6000000000001</v>
      </c>
      <c r="Q21" s="2" t="s">
        <v>221</v>
      </c>
      <c r="R21" s="2" t="s">
        <v>37</v>
      </c>
      <c r="S21" s="9" t="s">
        <v>222</v>
      </c>
      <c r="T21" s="9" t="s">
        <v>39</v>
      </c>
      <c r="U21" s="9" t="s">
        <v>76</v>
      </c>
      <c r="V21" s="9">
        <v>3</v>
      </c>
      <c r="W21" s="9">
        <v>13</v>
      </c>
      <c r="X21" s="9">
        <v>0.23</v>
      </c>
      <c r="Y21" s="2" t="s">
        <v>223</v>
      </c>
      <c r="Z21" s="9" t="s">
        <v>42</v>
      </c>
      <c r="AA21" s="7" t="s">
        <v>224</v>
      </c>
      <c r="AB21" s="7" t="s">
        <v>199</v>
      </c>
      <c r="AC21" s="7" t="s">
        <v>200</v>
      </c>
      <c r="AD21" s="7" t="s">
        <v>79</v>
      </c>
      <c r="AE21" s="7" t="s">
        <v>80</v>
      </c>
      <c r="AG21" s="23">
        <v>247</v>
      </c>
      <c r="AH21" s="23" t="s">
        <v>223</v>
      </c>
      <c r="AI21" s="23" t="s">
        <v>1642</v>
      </c>
      <c r="AJ21" s="23" t="s">
        <v>200</v>
      </c>
      <c r="AK21" s="23" t="s">
        <v>80</v>
      </c>
      <c r="AL21" s="23">
        <v>0.19889999999999999</v>
      </c>
      <c r="AM21" s="24">
        <f t="shared" si="1"/>
        <v>2906490.6936000003</v>
      </c>
      <c r="AN21" s="23"/>
      <c r="AO21" s="25">
        <v>1461282400</v>
      </c>
      <c r="AP21" s="23"/>
      <c r="AQ21" s="1" t="s">
        <v>27</v>
      </c>
      <c r="AR21" s="23"/>
      <c r="AS21" s="23"/>
      <c r="AT21" s="28">
        <v>2906490.6936000003</v>
      </c>
      <c r="AU21" s="28">
        <v>5045808.1272</v>
      </c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</row>
    <row r="22" spans="1:182" s="9" customFormat="1" x14ac:dyDescent="0.2">
      <c r="A22" s="2" t="s">
        <v>31</v>
      </c>
      <c r="B22" s="1" t="s">
        <v>225</v>
      </c>
      <c r="C22" s="1" t="s">
        <v>27</v>
      </c>
      <c r="D22" s="1" t="s">
        <v>28</v>
      </c>
      <c r="E22" s="8">
        <v>43370</v>
      </c>
      <c r="F22" s="9" t="s">
        <v>29</v>
      </c>
      <c r="G22" s="2" t="s">
        <v>226</v>
      </c>
      <c r="H22" s="2" t="s">
        <v>225</v>
      </c>
      <c r="I22" s="2" t="s">
        <v>227</v>
      </c>
      <c r="J22" s="2" t="s">
        <v>33</v>
      </c>
      <c r="K22" s="10">
        <v>167.68</v>
      </c>
      <c r="L22" s="11">
        <v>6707.2000000000007</v>
      </c>
      <c r="M22" s="2" t="s">
        <v>228</v>
      </c>
      <c r="N22" s="2" t="s">
        <v>35</v>
      </c>
      <c r="O22" s="2">
        <v>30.56</v>
      </c>
      <c r="P22" s="12">
        <f t="shared" si="0"/>
        <v>1069.5999999999999</v>
      </c>
      <c r="Q22" s="2" t="s">
        <v>229</v>
      </c>
      <c r="R22" s="2" t="s">
        <v>37</v>
      </c>
      <c r="S22" s="9" t="s">
        <v>230</v>
      </c>
      <c r="T22" s="9" t="s">
        <v>39</v>
      </c>
      <c r="U22" s="9" t="s">
        <v>87</v>
      </c>
      <c r="V22" s="9">
        <v>3</v>
      </c>
      <c r="Y22" s="2" t="s">
        <v>231</v>
      </c>
      <c r="Z22" s="9" t="s">
        <v>42</v>
      </c>
      <c r="AA22" s="7" t="s">
        <v>232</v>
      </c>
      <c r="AB22" s="7" t="s">
        <v>199</v>
      </c>
      <c r="AC22" s="7" t="s">
        <v>200</v>
      </c>
      <c r="AD22" s="7" t="s">
        <v>90</v>
      </c>
      <c r="AE22" s="7" t="s">
        <v>91</v>
      </c>
      <c r="AG22" s="23">
        <v>248</v>
      </c>
      <c r="AH22" s="23" t="s">
        <v>231</v>
      </c>
      <c r="AI22" s="23" t="s">
        <v>1642</v>
      </c>
      <c r="AJ22" s="23" t="s">
        <v>200</v>
      </c>
      <c r="AK22" s="23" t="s">
        <v>91</v>
      </c>
      <c r="AL22" s="23">
        <v>0.33539999999999998</v>
      </c>
      <c r="AM22" s="24">
        <f t="shared" si="1"/>
        <v>4901141.1695999997</v>
      </c>
      <c r="AN22" s="23"/>
      <c r="AO22" s="25">
        <v>1461282400</v>
      </c>
      <c r="AP22" s="23"/>
      <c r="AQ22" s="1" t="s">
        <v>27</v>
      </c>
      <c r="AR22" s="23"/>
      <c r="AS22" s="23"/>
      <c r="AT22" s="28">
        <v>4901141.1695999997</v>
      </c>
      <c r="AU22" s="28">
        <v>5805674.9752000002</v>
      </c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</row>
    <row r="23" spans="1:182" s="9" customFormat="1" x14ac:dyDescent="0.2">
      <c r="A23" s="2" t="s">
        <v>31</v>
      </c>
      <c r="B23" s="1" t="s">
        <v>233</v>
      </c>
      <c r="C23" s="1" t="s">
        <v>27</v>
      </c>
      <c r="D23" s="1" t="s">
        <v>28</v>
      </c>
      <c r="E23" s="8">
        <v>43370</v>
      </c>
      <c r="F23" s="9" t="s">
        <v>29</v>
      </c>
      <c r="G23" s="2" t="s">
        <v>234</v>
      </c>
      <c r="H23" s="2" t="s">
        <v>233</v>
      </c>
      <c r="I23" s="2" t="s">
        <v>235</v>
      </c>
      <c r="J23" s="2" t="s">
        <v>33</v>
      </c>
      <c r="K23" s="10">
        <v>243.36</v>
      </c>
      <c r="L23" s="11">
        <v>9734.4000000000015</v>
      </c>
      <c r="M23" s="2" t="s">
        <v>236</v>
      </c>
      <c r="N23" s="2" t="s">
        <v>35</v>
      </c>
      <c r="O23" s="2">
        <v>29.28</v>
      </c>
      <c r="P23" s="12">
        <f t="shared" si="0"/>
        <v>1024.8</v>
      </c>
      <c r="Q23" s="2" t="s">
        <v>237</v>
      </c>
      <c r="R23" s="2" t="s">
        <v>37</v>
      </c>
      <c r="S23" s="9" t="s">
        <v>238</v>
      </c>
      <c r="T23" s="9" t="s">
        <v>39</v>
      </c>
      <c r="U23" s="9" t="s">
        <v>98</v>
      </c>
      <c r="V23" s="9">
        <v>3</v>
      </c>
      <c r="Y23" s="2" t="s">
        <v>239</v>
      </c>
      <c r="Z23" s="9" t="s">
        <v>42</v>
      </c>
      <c r="AA23" s="7" t="s">
        <v>240</v>
      </c>
      <c r="AB23" s="7" t="s">
        <v>199</v>
      </c>
      <c r="AC23" s="7" t="s">
        <v>200</v>
      </c>
      <c r="AD23" s="7" t="s">
        <v>101</v>
      </c>
      <c r="AE23" s="7" t="s">
        <v>102</v>
      </c>
      <c r="AG23" s="23">
        <v>249</v>
      </c>
      <c r="AH23" s="23" t="s">
        <v>239</v>
      </c>
      <c r="AI23" s="23" t="s">
        <v>1642</v>
      </c>
      <c r="AJ23" s="23" t="s">
        <v>200</v>
      </c>
      <c r="AK23" s="23" t="s">
        <v>102</v>
      </c>
      <c r="AL23" s="23">
        <v>0.2757</v>
      </c>
      <c r="AM23" s="24">
        <f t="shared" si="1"/>
        <v>4028755.5767999999</v>
      </c>
      <c r="AN23" s="23"/>
      <c r="AO23" s="25">
        <v>1461282400</v>
      </c>
      <c r="AP23" s="23"/>
      <c r="AQ23" s="1" t="s">
        <v>27</v>
      </c>
      <c r="AR23" s="23"/>
      <c r="AS23" s="23"/>
      <c r="AT23" s="28">
        <v>4028755.5767999999</v>
      </c>
      <c r="AU23" s="28">
        <v>5623014.6751999995</v>
      </c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</row>
    <row r="24" spans="1:182" s="9" customFormat="1" x14ac:dyDescent="0.2">
      <c r="A24" s="2" t="s">
        <v>31</v>
      </c>
      <c r="B24" s="1" t="s">
        <v>241</v>
      </c>
      <c r="C24" s="1" t="s">
        <v>27</v>
      </c>
      <c r="D24" s="1" t="s">
        <v>28</v>
      </c>
      <c r="E24" s="8">
        <v>43370</v>
      </c>
      <c r="F24" s="9" t="s">
        <v>29</v>
      </c>
      <c r="G24" s="2" t="s">
        <v>242</v>
      </c>
      <c r="H24" s="2" t="s">
        <v>241</v>
      </c>
      <c r="I24" s="2" t="s">
        <v>243</v>
      </c>
      <c r="J24" s="2" t="s">
        <v>33</v>
      </c>
      <c r="K24" s="10">
        <v>236.48</v>
      </c>
      <c r="L24" s="11">
        <v>9459.1999999999989</v>
      </c>
      <c r="M24" s="2" t="s">
        <v>244</v>
      </c>
      <c r="N24" s="2" t="s">
        <v>35</v>
      </c>
      <c r="O24" s="2">
        <v>31.12</v>
      </c>
      <c r="P24" s="12">
        <f t="shared" si="0"/>
        <v>1089.2</v>
      </c>
      <c r="Q24" s="2" t="s">
        <v>245</v>
      </c>
      <c r="R24" s="2" t="s">
        <v>37</v>
      </c>
      <c r="S24" s="9" t="s">
        <v>246</v>
      </c>
      <c r="T24" s="9" t="s">
        <v>39</v>
      </c>
      <c r="U24" s="9" t="s">
        <v>109</v>
      </c>
      <c r="V24" s="9">
        <v>3</v>
      </c>
      <c r="Y24" s="2" t="s">
        <v>247</v>
      </c>
      <c r="Z24" s="9" t="s">
        <v>42</v>
      </c>
      <c r="AA24" s="7" t="s">
        <v>248</v>
      </c>
      <c r="AB24" s="7" t="s">
        <v>199</v>
      </c>
      <c r="AC24" s="7" t="s">
        <v>200</v>
      </c>
      <c r="AD24" s="7" t="s">
        <v>112</v>
      </c>
      <c r="AE24" s="7" t="s">
        <v>113</v>
      </c>
      <c r="AG24" s="23">
        <v>250</v>
      </c>
      <c r="AH24" s="23" t="s">
        <v>247</v>
      </c>
      <c r="AI24" s="23" t="s">
        <v>1642</v>
      </c>
      <c r="AJ24" s="23" t="s">
        <v>200</v>
      </c>
      <c r="AK24" s="23" t="s">
        <v>113</v>
      </c>
      <c r="AL24" s="23">
        <v>0.21060000000000001</v>
      </c>
      <c r="AM24" s="24">
        <f t="shared" si="1"/>
        <v>3077460.7344</v>
      </c>
      <c r="AN24" s="23"/>
      <c r="AO24" s="25">
        <v>1461282400</v>
      </c>
      <c r="AP24" s="23"/>
      <c r="AQ24" s="1" t="s">
        <v>27</v>
      </c>
      <c r="AR24" s="23"/>
      <c r="AS24" s="23"/>
      <c r="AT24" s="28">
        <v>3077460.7344</v>
      </c>
      <c r="AU24" s="28">
        <v>6150537.6215999993</v>
      </c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</row>
    <row r="25" spans="1:182" s="9" customFormat="1" x14ac:dyDescent="0.2">
      <c r="A25" s="2" t="s">
        <v>31</v>
      </c>
      <c r="B25" s="1" t="s">
        <v>249</v>
      </c>
      <c r="C25" s="1" t="s">
        <v>27</v>
      </c>
      <c r="D25" s="1" t="s">
        <v>28</v>
      </c>
      <c r="E25" s="8">
        <v>43370</v>
      </c>
      <c r="F25" s="9" t="s">
        <v>29</v>
      </c>
      <c r="G25" s="2" t="s">
        <v>250</v>
      </c>
      <c r="H25" s="2" t="s">
        <v>249</v>
      </c>
      <c r="I25" s="2" t="s">
        <v>251</v>
      </c>
      <c r="J25" s="2" t="s">
        <v>33</v>
      </c>
      <c r="K25" s="10">
        <v>190.64</v>
      </c>
      <c r="L25" s="11">
        <v>7625.5999999999995</v>
      </c>
      <c r="M25" s="2" t="s">
        <v>252</v>
      </c>
      <c r="N25" s="2" t="s">
        <v>35</v>
      </c>
      <c r="O25" s="2">
        <v>30.4</v>
      </c>
      <c r="P25" s="12">
        <f t="shared" si="0"/>
        <v>1064</v>
      </c>
      <c r="Q25" s="2" t="s">
        <v>253</v>
      </c>
      <c r="R25" s="2" t="s">
        <v>37</v>
      </c>
      <c r="S25" s="9" t="s">
        <v>254</v>
      </c>
      <c r="T25" s="9" t="s">
        <v>39</v>
      </c>
      <c r="U25" s="9" t="s">
        <v>120</v>
      </c>
      <c r="V25" s="9">
        <v>3</v>
      </c>
      <c r="Y25" s="2" t="s">
        <v>255</v>
      </c>
      <c r="Z25" s="9" t="s">
        <v>42</v>
      </c>
      <c r="AA25" s="7" t="s">
        <v>256</v>
      </c>
      <c r="AB25" s="7" t="s">
        <v>199</v>
      </c>
      <c r="AC25" s="7" t="s">
        <v>200</v>
      </c>
      <c r="AD25" s="7" t="s">
        <v>123</v>
      </c>
      <c r="AE25" s="7" t="s">
        <v>124</v>
      </c>
      <c r="AG25" s="23">
        <v>251</v>
      </c>
      <c r="AH25" s="23" t="s">
        <v>255</v>
      </c>
      <c r="AI25" s="23" t="s">
        <v>1642</v>
      </c>
      <c r="AJ25" s="23" t="s">
        <v>200</v>
      </c>
      <c r="AK25" s="23" t="s">
        <v>124</v>
      </c>
      <c r="AL25" s="23">
        <v>0.29909999999999998</v>
      </c>
      <c r="AM25" s="24">
        <f t="shared" si="1"/>
        <v>4370695.6584000001</v>
      </c>
      <c r="AN25" s="23"/>
      <c r="AO25" s="25">
        <v>1461282400</v>
      </c>
      <c r="AP25" s="23"/>
      <c r="AQ25" s="1" t="s">
        <v>27</v>
      </c>
      <c r="AR25" s="23"/>
      <c r="AS25" s="23"/>
      <c r="AT25" s="28">
        <v>4370695.6584000001</v>
      </c>
      <c r="AU25" s="28">
        <v>5615708.263199999</v>
      </c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</row>
    <row r="26" spans="1:182" s="9" customFormat="1" x14ac:dyDescent="0.2">
      <c r="A26" s="2" t="s">
        <v>31</v>
      </c>
      <c r="B26" s="1" t="s">
        <v>257</v>
      </c>
      <c r="C26" s="1" t="s">
        <v>27</v>
      </c>
      <c r="D26" s="1" t="s">
        <v>28</v>
      </c>
      <c r="E26" s="8">
        <v>43370</v>
      </c>
      <c r="F26" s="9" t="s">
        <v>29</v>
      </c>
      <c r="G26" s="2" t="s">
        <v>258</v>
      </c>
      <c r="H26" s="2" t="s">
        <v>257</v>
      </c>
      <c r="I26" s="2" t="s">
        <v>259</v>
      </c>
      <c r="J26" s="2" t="s">
        <v>33</v>
      </c>
      <c r="K26" s="10">
        <v>287.04000000000002</v>
      </c>
      <c r="L26" s="11">
        <v>11481.6</v>
      </c>
      <c r="M26" s="2" t="s">
        <v>260</v>
      </c>
      <c r="N26" s="2" t="s">
        <v>35</v>
      </c>
      <c r="O26" s="2">
        <v>31.68</v>
      </c>
      <c r="P26" s="12">
        <f t="shared" si="0"/>
        <v>1108.8</v>
      </c>
      <c r="Q26" s="2" t="s">
        <v>261</v>
      </c>
      <c r="R26" s="2" t="s">
        <v>37</v>
      </c>
      <c r="S26" s="9" t="s">
        <v>262</v>
      </c>
      <c r="T26" s="9" t="s">
        <v>39</v>
      </c>
      <c r="U26" s="9" t="s">
        <v>40</v>
      </c>
      <c r="V26" s="9">
        <v>4</v>
      </c>
      <c r="Y26" s="2" t="s">
        <v>263</v>
      </c>
      <c r="Z26" s="9" t="s">
        <v>42</v>
      </c>
      <c r="AA26" s="7" t="s">
        <v>264</v>
      </c>
      <c r="AB26" s="7" t="s">
        <v>265</v>
      </c>
      <c r="AC26" s="7" t="s">
        <v>266</v>
      </c>
      <c r="AD26" s="7" t="s">
        <v>46</v>
      </c>
      <c r="AE26" s="7" t="s">
        <v>47</v>
      </c>
      <c r="AG26" s="23">
        <v>252</v>
      </c>
      <c r="AH26" s="23" t="s">
        <v>263</v>
      </c>
      <c r="AI26" s="23" t="s">
        <v>1642</v>
      </c>
      <c r="AJ26" s="23" t="s">
        <v>266</v>
      </c>
      <c r="AK26" s="23" t="s">
        <v>47</v>
      </c>
      <c r="AL26" s="23">
        <v>0.41799999999999998</v>
      </c>
      <c r="AM26" s="24">
        <f t="shared" si="1"/>
        <v>6108160.4319999991</v>
      </c>
      <c r="AN26" s="23"/>
      <c r="AO26" s="25">
        <v>1461282400</v>
      </c>
      <c r="AP26" s="23"/>
      <c r="AQ26" s="1" t="s">
        <v>27</v>
      </c>
      <c r="AR26" s="23"/>
      <c r="AS26" s="23"/>
      <c r="AT26" s="28">
        <v>6108160.4319999991</v>
      </c>
      <c r="AU26" s="28">
        <v>5345371.0192</v>
      </c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</row>
    <row r="27" spans="1:182" s="9" customFormat="1" x14ac:dyDescent="0.2">
      <c r="A27" s="2" t="s">
        <v>31</v>
      </c>
      <c r="B27" s="1" t="s">
        <v>267</v>
      </c>
      <c r="C27" s="1" t="s">
        <v>27</v>
      </c>
      <c r="D27" s="1" t="s">
        <v>28</v>
      </c>
      <c r="E27" s="8">
        <v>43370</v>
      </c>
      <c r="F27" s="9" t="s">
        <v>29</v>
      </c>
      <c r="G27" s="2" t="s">
        <v>268</v>
      </c>
      <c r="H27" s="2" t="s">
        <v>267</v>
      </c>
      <c r="I27" s="2" t="s">
        <v>269</v>
      </c>
      <c r="J27" s="2" t="s">
        <v>33</v>
      </c>
      <c r="K27" s="10">
        <v>106.08</v>
      </c>
      <c r="L27" s="11">
        <v>4243.2</v>
      </c>
      <c r="M27" s="2" t="s">
        <v>270</v>
      </c>
      <c r="N27" s="2" t="s">
        <v>35</v>
      </c>
      <c r="O27" s="2">
        <v>31.92</v>
      </c>
      <c r="P27" s="12">
        <f t="shared" si="0"/>
        <v>1117.2</v>
      </c>
      <c r="Q27" s="2" t="s">
        <v>271</v>
      </c>
      <c r="R27" s="2" t="s">
        <v>37</v>
      </c>
      <c r="S27" s="9" t="s">
        <v>272</v>
      </c>
      <c r="T27" s="9" t="s">
        <v>39</v>
      </c>
      <c r="U27" s="9" t="s">
        <v>54</v>
      </c>
      <c r="V27" s="9">
        <v>4</v>
      </c>
      <c r="Y27" s="2" t="s">
        <v>273</v>
      </c>
      <c r="Z27" s="9" t="s">
        <v>42</v>
      </c>
      <c r="AA27" s="7" t="s">
        <v>274</v>
      </c>
      <c r="AB27" s="7" t="s">
        <v>265</v>
      </c>
      <c r="AC27" s="7" t="s">
        <v>266</v>
      </c>
      <c r="AD27" s="7" t="s">
        <v>57</v>
      </c>
      <c r="AE27" s="7" t="s">
        <v>58</v>
      </c>
      <c r="AG27" s="23">
        <v>253</v>
      </c>
      <c r="AH27" s="23" t="s">
        <v>273</v>
      </c>
      <c r="AI27" s="23" t="s">
        <v>1642</v>
      </c>
      <c r="AJ27" s="23" t="s">
        <v>266</v>
      </c>
      <c r="AK27" s="23" t="s">
        <v>58</v>
      </c>
      <c r="AL27" s="23">
        <v>0.39800000000000002</v>
      </c>
      <c r="AM27" s="24">
        <f t="shared" si="1"/>
        <v>5815903.9520000005</v>
      </c>
      <c r="AN27" s="23"/>
      <c r="AO27" s="25">
        <v>1461282400</v>
      </c>
      <c r="AP27" s="23"/>
      <c r="AQ27" s="1" t="s">
        <v>27</v>
      </c>
      <c r="AR27" s="23"/>
      <c r="AS27" s="23"/>
      <c r="AT27" s="28">
        <v>5815903.9520000005</v>
      </c>
      <c r="AU27" s="28">
        <v>7196815.8200000003</v>
      </c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</row>
    <row r="28" spans="1:182" s="9" customFormat="1" x14ac:dyDescent="0.2">
      <c r="A28" s="2" t="s">
        <v>31</v>
      </c>
      <c r="B28" s="1" t="s">
        <v>275</v>
      </c>
      <c r="C28" s="1" t="s">
        <v>27</v>
      </c>
      <c r="D28" s="1" t="s">
        <v>28</v>
      </c>
      <c r="E28" s="8">
        <v>43370</v>
      </c>
      <c r="F28" s="9" t="s">
        <v>29</v>
      </c>
      <c r="G28" s="2" t="s">
        <v>276</v>
      </c>
      <c r="H28" s="2" t="s">
        <v>275</v>
      </c>
      <c r="I28" s="2" t="s">
        <v>277</v>
      </c>
      <c r="J28" s="2" t="s">
        <v>33</v>
      </c>
      <c r="K28" s="10">
        <v>323.83999999999997</v>
      </c>
      <c r="L28" s="11">
        <v>12953.599999999999</v>
      </c>
      <c r="M28" s="2" t="s">
        <v>278</v>
      </c>
      <c r="N28" s="2" t="s">
        <v>35</v>
      </c>
      <c r="O28" s="2">
        <v>29.68</v>
      </c>
      <c r="P28" s="12">
        <f t="shared" si="0"/>
        <v>1038.8</v>
      </c>
      <c r="Q28" s="2" t="s">
        <v>279</v>
      </c>
      <c r="R28" s="2" t="s">
        <v>37</v>
      </c>
      <c r="S28" s="9" t="s">
        <v>280</v>
      </c>
      <c r="T28" s="9" t="s">
        <v>39</v>
      </c>
      <c r="U28" s="9" t="s">
        <v>65</v>
      </c>
      <c r="V28" s="9">
        <v>4</v>
      </c>
      <c r="Y28" s="2" t="s">
        <v>281</v>
      </c>
      <c r="Z28" s="9" t="s">
        <v>42</v>
      </c>
      <c r="AA28" s="7" t="s">
        <v>282</v>
      </c>
      <c r="AB28" s="7" t="s">
        <v>265</v>
      </c>
      <c r="AC28" s="7" t="s">
        <v>266</v>
      </c>
      <c r="AD28" s="7" t="s">
        <v>68</v>
      </c>
      <c r="AE28" s="7" t="s">
        <v>69</v>
      </c>
      <c r="AG28" s="23">
        <v>254</v>
      </c>
      <c r="AH28" s="23" t="s">
        <v>281</v>
      </c>
      <c r="AI28" s="23" t="s">
        <v>1642</v>
      </c>
      <c r="AJ28" s="23" t="s">
        <v>266</v>
      </c>
      <c r="AK28" s="23" t="s">
        <v>69</v>
      </c>
      <c r="AL28" s="23">
        <v>0.31869999999999998</v>
      </c>
      <c r="AM28" s="24">
        <f t="shared" si="1"/>
        <v>4657107.0088</v>
      </c>
      <c r="AN28" s="23"/>
      <c r="AO28" s="25">
        <v>1461282400</v>
      </c>
      <c r="AP28" s="23"/>
      <c r="AQ28" s="1" t="s">
        <v>27</v>
      </c>
      <c r="AR28" s="23"/>
      <c r="AS28" s="23"/>
      <c r="AT28" s="28">
        <v>4657107.0088</v>
      </c>
      <c r="AU28" s="28">
        <v>6495400.2679999992</v>
      </c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</row>
    <row r="29" spans="1:182" s="9" customFormat="1" x14ac:dyDescent="0.2">
      <c r="A29" s="2" t="s">
        <v>31</v>
      </c>
      <c r="B29" s="1" t="s">
        <v>283</v>
      </c>
      <c r="C29" s="1" t="s">
        <v>27</v>
      </c>
      <c r="D29" s="1" t="s">
        <v>28</v>
      </c>
      <c r="E29" s="8">
        <v>43370</v>
      </c>
      <c r="F29" s="9" t="s">
        <v>29</v>
      </c>
      <c r="G29" s="2" t="s">
        <v>284</v>
      </c>
      <c r="H29" s="2" t="s">
        <v>283</v>
      </c>
      <c r="I29" s="2" t="s">
        <v>285</v>
      </c>
      <c r="J29" s="2" t="s">
        <v>33</v>
      </c>
      <c r="K29" s="10">
        <v>242.48</v>
      </c>
      <c r="L29" s="11">
        <v>9699.1999999999989</v>
      </c>
      <c r="M29" s="2" t="s">
        <v>286</v>
      </c>
      <c r="N29" s="2" t="s">
        <v>35</v>
      </c>
      <c r="O29" s="2">
        <v>29.84</v>
      </c>
      <c r="P29" s="12">
        <f t="shared" si="0"/>
        <v>1044.4000000000001</v>
      </c>
      <c r="Q29" s="2" t="s">
        <v>287</v>
      </c>
      <c r="R29" s="2" t="s">
        <v>37</v>
      </c>
      <c r="S29" s="9" t="s">
        <v>288</v>
      </c>
      <c r="T29" s="9" t="s">
        <v>39</v>
      </c>
      <c r="U29" s="9" t="s">
        <v>76</v>
      </c>
      <c r="V29" s="9">
        <v>4</v>
      </c>
      <c r="Y29" s="2" t="s">
        <v>289</v>
      </c>
      <c r="Z29" s="9" t="s">
        <v>42</v>
      </c>
      <c r="AA29" s="7" t="s">
        <v>290</v>
      </c>
      <c r="AB29" s="7" t="s">
        <v>265</v>
      </c>
      <c r="AC29" s="7" t="s">
        <v>266</v>
      </c>
      <c r="AD29" s="7" t="s">
        <v>79</v>
      </c>
      <c r="AE29" s="7" t="s">
        <v>80</v>
      </c>
      <c r="AG29" s="23">
        <v>255</v>
      </c>
      <c r="AH29" s="23" t="s">
        <v>289</v>
      </c>
      <c r="AI29" s="23" t="s">
        <v>1642</v>
      </c>
      <c r="AJ29" s="23" t="s">
        <v>266</v>
      </c>
      <c r="AK29" s="23" t="s">
        <v>80</v>
      </c>
      <c r="AL29" s="23">
        <v>0.3538</v>
      </c>
      <c r="AM29" s="24">
        <f t="shared" si="1"/>
        <v>5170017.1311999997</v>
      </c>
      <c r="AN29" s="23"/>
      <c r="AO29" s="25">
        <v>1461282400</v>
      </c>
      <c r="AP29" s="23"/>
      <c r="AQ29" s="1" t="s">
        <v>27</v>
      </c>
      <c r="AR29" s="23"/>
      <c r="AS29" s="23"/>
      <c r="AT29" s="28">
        <v>5170017.1311999997</v>
      </c>
      <c r="AU29" s="28">
        <v>4192419.2056</v>
      </c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</row>
    <row r="30" spans="1:182" s="9" customFormat="1" x14ac:dyDescent="0.2">
      <c r="A30" s="2" t="s">
        <v>31</v>
      </c>
      <c r="B30" s="1" t="s">
        <v>291</v>
      </c>
      <c r="C30" s="1" t="s">
        <v>27</v>
      </c>
      <c r="D30" s="1" t="s">
        <v>28</v>
      </c>
      <c r="E30" s="8">
        <v>43370</v>
      </c>
      <c r="F30" s="9" t="s">
        <v>29</v>
      </c>
      <c r="G30" s="2" t="s">
        <v>292</v>
      </c>
      <c r="H30" s="2" t="s">
        <v>291</v>
      </c>
      <c r="I30" s="2" t="s">
        <v>293</v>
      </c>
      <c r="J30" s="2" t="s">
        <v>33</v>
      </c>
      <c r="K30" s="10">
        <v>171.36</v>
      </c>
      <c r="L30" s="11">
        <v>6854.4000000000005</v>
      </c>
      <c r="M30" s="2" t="s">
        <v>294</v>
      </c>
      <c r="N30" s="2" t="s">
        <v>35</v>
      </c>
      <c r="O30" s="2">
        <v>33.28</v>
      </c>
      <c r="P30" s="12">
        <f t="shared" si="0"/>
        <v>1164.8</v>
      </c>
      <c r="Q30" s="2" t="s">
        <v>295</v>
      </c>
      <c r="R30" s="2" t="s">
        <v>37</v>
      </c>
      <c r="S30" s="9" t="s">
        <v>296</v>
      </c>
      <c r="T30" s="9" t="s">
        <v>39</v>
      </c>
      <c r="U30" s="9" t="s">
        <v>87</v>
      </c>
      <c r="V30" s="9">
        <v>4</v>
      </c>
      <c r="Y30" s="2" t="s">
        <v>297</v>
      </c>
      <c r="Z30" s="9" t="s">
        <v>42</v>
      </c>
      <c r="AA30" s="7" t="s">
        <v>298</v>
      </c>
      <c r="AB30" s="7" t="s">
        <v>265</v>
      </c>
      <c r="AC30" s="7" t="s">
        <v>266</v>
      </c>
      <c r="AD30" s="7" t="s">
        <v>90</v>
      </c>
      <c r="AE30" s="7" t="s">
        <v>91</v>
      </c>
      <c r="AG30" s="23">
        <v>256</v>
      </c>
      <c r="AH30" s="23" t="s">
        <v>297</v>
      </c>
      <c r="AI30" s="23" t="s">
        <v>1642</v>
      </c>
      <c r="AJ30" s="23" t="s">
        <v>266</v>
      </c>
      <c r="AK30" s="23" t="s">
        <v>91</v>
      </c>
      <c r="AL30" s="23">
        <v>0.3296</v>
      </c>
      <c r="AM30" s="24">
        <f t="shared" si="1"/>
        <v>4816386.7904000003</v>
      </c>
      <c r="AN30" s="23"/>
      <c r="AO30" s="25">
        <v>1461282400</v>
      </c>
      <c r="AP30" s="23"/>
      <c r="AQ30" s="1" t="s">
        <v>27</v>
      </c>
      <c r="AR30" s="23"/>
      <c r="AS30" s="23"/>
      <c r="AT30" s="28">
        <v>4816386.7904000003</v>
      </c>
      <c r="AU30" s="28">
        <v>4563584.9352000002</v>
      </c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</row>
    <row r="31" spans="1:182" s="9" customFormat="1" x14ac:dyDescent="0.2">
      <c r="A31" s="2" t="s">
        <v>31</v>
      </c>
      <c r="B31" s="1" t="s">
        <v>299</v>
      </c>
      <c r="C31" s="1" t="s">
        <v>27</v>
      </c>
      <c r="D31" s="1" t="s">
        <v>28</v>
      </c>
      <c r="E31" s="8">
        <v>43370</v>
      </c>
      <c r="F31" s="9" t="s">
        <v>29</v>
      </c>
      <c r="G31" s="2" t="s">
        <v>300</v>
      </c>
      <c r="H31" s="2" t="s">
        <v>299</v>
      </c>
      <c r="I31" s="2" t="s">
        <v>301</v>
      </c>
      <c r="J31" s="2" t="s">
        <v>33</v>
      </c>
      <c r="K31" s="10">
        <v>119.36</v>
      </c>
      <c r="L31" s="11">
        <v>2387.1999999999998</v>
      </c>
      <c r="M31" s="2" t="s">
        <v>302</v>
      </c>
      <c r="N31" s="2" t="s">
        <v>35</v>
      </c>
      <c r="O31" s="2">
        <v>28.8</v>
      </c>
      <c r="P31" s="12">
        <f t="shared" si="0"/>
        <v>1008</v>
      </c>
      <c r="Q31" s="2" t="s">
        <v>303</v>
      </c>
      <c r="R31" s="2" t="s">
        <v>37</v>
      </c>
      <c r="S31" s="9" t="s">
        <v>304</v>
      </c>
      <c r="T31" s="9" t="s">
        <v>39</v>
      </c>
      <c r="U31" s="9" t="s">
        <v>98</v>
      </c>
      <c r="V31" s="9">
        <v>4</v>
      </c>
      <c r="W31" s="9">
        <v>19</v>
      </c>
      <c r="X31" s="9">
        <v>0.34</v>
      </c>
      <c r="Y31" s="2" t="s">
        <v>305</v>
      </c>
      <c r="Z31" s="9" t="s">
        <v>42</v>
      </c>
      <c r="AA31" s="7" t="s">
        <v>306</v>
      </c>
      <c r="AB31" s="7" t="s">
        <v>265</v>
      </c>
      <c r="AC31" s="7" t="s">
        <v>266</v>
      </c>
      <c r="AD31" s="7" t="s">
        <v>101</v>
      </c>
      <c r="AE31" s="7" t="s">
        <v>102</v>
      </c>
      <c r="AG31" s="23">
        <v>257</v>
      </c>
      <c r="AH31" s="23" t="s">
        <v>305</v>
      </c>
      <c r="AI31" s="23" t="s">
        <v>1642</v>
      </c>
      <c r="AJ31" s="23" t="s">
        <v>266</v>
      </c>
      <c r="AK31" s="23" t="s">
        <v>102</v>
      </c>
      <c r="AL31" s="23">
        <v>0.36330000000000001</v>
      </c>
      <c r="AM31" s="24">
        <f t="shared" si="1"/>
        <v>5308838.9592000004</v>
      </c>
      <c r="AN31" s="23"/>
      <c r="AO31" s="25">
        <v>1461282400</v>
      </c>
      <c r="AP31" s="23"/>
      <c r="AQ31" s="1" t="s">
        <v>27</v>
      </c>
      <c r="AR31" s="23"/>
      <c r="AS31" s="23"/>
      <c r="AT31" s="28">
        <v>5308838.9592000004</v>
      </c>
      <c r="AU31" s="28">
        <v>7866083.1591999996</v>
      </c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</row>
    <row r="32" spans="1:182" s="9" customFormat="1" x14ac:dyDescent="0.2">
      <c r="A32" s="2" t="s">
        <v>31</v>
      </c>
      <c r="B32" s="1" t="s">
        <v>307</v>
      </c>
      <c r="C32" s="1" t="s">
        <v>27</v>
      </c>
      <c r="D32" s="1" t="s">
        <v>28</v>
      </c>
      <c r="E32" s="8">
        <v>43370</v>
      </c>
      <c r="F32" s="9" t="s">
        <v>29</v>
      </c>
      <c r="G32" s="2" t="s">
        <v>308</v>
      </c>
      <c r="H32" s="2" t="s">
        <v>307</v>
      </c>
      <c r="I32" s="2" t="s">
        <v>309</v>
      </c>
      <c r="J32" s="2" t="s">
        <v>33</v>
      </c>
      <c r="K32" s="10">
        <v>195.84</v>
      </c>
      <c r="L32" s="11">
        <v>4003.2</v>
      </c>
      <c r="M32" s="2" t="s">
        <v>310</v>
      </c>
      <c r="N32" s="2" t="s">
        <v>35</v>
      </c>
      <c r="O32" s="2">
        <v>30.48</v>
      </c>
      <c r="P32" s="12">
        <f t="shared" si="0"/>
        <v>1066.8</v>
      </c>
      <c r="Q32" s="2" t="s">
        <v>311</v>
      </c>
      <c r="R32" s="2" t="s">
        <v>37</v>
      </c>
      <c r="S32" s="9" t="s">
        <v>312</v>
      </c>
      <c r="T32" s="9" t="s">
        <v>39</v>
      </c>
      <c r="U32" s="9" t="s">
        <v>109</v>
      </c>
      <c r="V32" s="9">
        <v>4</v>
      </c>
      <c r="Y32" s="2" t="s">
        <v>313</v>
      </c>
      <c r="Z32" s="9" t="s">
        <v>42</v>
      </c>
      <c r="AA32" s="7" t="s">
        <v>314</v>
      </c>
      <c r="AB32" s="7" t="s">
        <v>265</v>
      </c>
      <c r="AC32" s="7" t="s">
        <v>266</v>
      </c>
      <c r="AD32" s="7" t="s">
        <v>112</v>
      </c>
      <c r="AE32" s="7" t="s">
        <v>113</v>
      </c>
      <c r="AG32" s="23">
        <v>258</v>
      </c>
      <c r="AH32" s="23" t="s">
        <v>313</v>
      </c>
      <c r="AI32" s="23" t="s">
        <v>1642</v>
      </c>
      <c r="AJ32" s="23" t="s">
        <v>266</v>
      </c>
      <c r="AK32" s="23" t="s">
        <v>113</v>
      </c>
      <c r="AL32" s="23">
        <v>0.31080000000000002</v>
      </c>
      <c r="AM32" s="24">
        <f t="shared" si="1"/>
        <v>4541665.6992000006</v>
      </c>
      <c r="AN32" s="23"/>
      <c r="AO32" s="25">
        <v>1461282400</v>
      </c>
      <c r="AP32" s="23"/>
      <c r="AQ32" s="1" t="s">
        <v>27</v>
      </c>
      <c r="AR32" s="23"/>
      <c r="AS32" s="23"/>
      <c r="AT32" s="28">
        <v>4541665.6992000006</v>
      </c>
      <c r="AU32" s="28">
        <v>8105733.4727999996</v>
      </c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</row>
    <row r="33" spans="1:182" s="9" customFormat="1" x14ac:dyDescent="0.2">
      <c r="A33" s="2" t="s">
        <v>31</v>
      </c>
      <c r="B33" s="1" t="s">
        <v>315</v>
      </c>
      <c r="C33" s="1" t="s">
        <v>27</v>
      </c>
      <c r="D33" s="1" t="s">
        <v>28</v>
      </c>
      <c r="E33" s="8">
        <v>43370</v>
      </c>
      <c r="F33" s="9" t="s">
        <v>29</v>
      </c>
      <c r="G33" s="2" t="s">
        <v>316</v>
      </c>
      <c r="H33" s="2" t="s">
        <v>315</v>
      </c>
      <c r="I33" s="2" t="s">
        <v>317</v>
      </c>
      <c r="J33" s="2" t="s">
        <v>33</v>
      </c>
      <c r="K33" s="10">
        <v>201.84</v>
      </c>
      <c r="L33" s="11">
        <v>8073.6</v>
      </c>
      <c r="M33" s="2" t="s">
        <v>318</v>
      </c>
      <c r="N33" s="2" t="s">
        <v>35</v>
      </c>
      <c r="O33" s="2">
        <v>31.36</v>
      </c>
      <c r="P33" s="12">
        <f t="shared" si="0"/>
        <v>1097.5999999999999</v>
      </c>
      <c r="Q33" s="2" t="s">
        <v>319</v>
      </c>
      <c r="R33" s="2" t="s">
        <v>37</v>
      </c>
      <c r="S33" s="9" t="s">
        <v>320</v>
      </c>
      <c r="T33" s="9" t="s">
        <v>39</v>
      </c>
      <c r="U33" s="9" t="s">
        <v>120</v>
      </c>
      <c r="V33" s="9">
        <v>4</v>
      </c>
      <c r="Y33" s="2" t="s">
        <v>321</v>
      </c>
      <c r="Z33" s="9" t="s">
        <v>42</v>
      </c>
      <c r="AA33" s="7" t="s">
        <v>322</v>
      </c>
      <c r="AB33" s="7" t="s">
        <v>265</v>
      </c>
      <c r="AC33" s="7" t="s">
        <v>266</v>
      </c>
      <c r="AD33" s="7" t="s">
        <v>123</v>
      </c>
      <c r="AE33" s="7" t="s">
        <v>124</v>
      </c>
      <c r="AG33" s="23">
        <v>259</v>
      </c>
      <c r="AH33" s="23" t="s">
        <v>321</v>
      </c>
      <c r="AI33" s="23" t="s">
        <v>1642</v>
      </c>
      <c r="AJ33" s="23" t="s">
        <v>266</v>
      </c>
      <c r="AK33" s="23" t="s">
        <v>124</v>
      </c>
      <c r="AL33" s="23">
        <v>0.31590000000000001</v>
      </c>
      <c r="AM33" s="24">
        <f t="shared" si="1"/>
        <v>4616191.1016000006</v>
      </c>
      <c r="AN33" s="23"/>
      <c r="AO33" s="25">
        <v>1461282400</v>
      </c>
      <c r="AP33" s="23"/>
      <c r="AQ33" s="1" t="s">
        <v>27</v>
      </c>
      <c r="AR33" s="23"/>
      <c r="AS33" s="23"/>
      <c r="AT33" s="28">
        <v>4616191.1016000006</v>
      </c>
      <c r="AU33" s="28">
        <v>9549480.4839999992</v>
      </c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</row>
    <row r="34" spans="1:182" s="9" customFormat="1" x14ac:dyDescent="0.2">
      <c r="A34" s="2" t="s">
        <v>31</v>
      </c>
      <c r="B34" s="1" t="s">
        <v>323</v>
      </c>
      <c r="C34" s="1" t="s">
        <v>27</v>
      </c>
      <c r="D34" s="1" t="s">
        <v>28</v>
      </c>
      <c r="E34" s="8">
        <v>43370</v>
      </c>
      <c r="F34" s="9" t="s">
        <v>29</v>
      </c>
      <c r="G34" s="2" t="s">
        <v>324</v>
      </c>
      <c r="H34" s="2" t="s">
        <v>323</v>
      </c>
      <c r="I34" s="2" t="s">
        <v>325</v>
      </c>
      <c r="J34" s="2" t="s">
        <v>33</v>
      </c>
      <c r="K34" s="10">
        <v>386.96</v>
      </c>
      <c r="L34" s="11">
        <v>15478.4</v>
      </c>
      <c r="M34" s="2" t="s">
        <v>326</v>
      </c>
      <c r="N34" s="2" t="s">
        <v>35</v>
      </c>
      <c r="O34" s="2">
        <v>25.44</v>
      </c>
      <c r="P34" s="12">
        <f t="shared" si="0"/>
        <v>890.40000000000009</v>
      </c>
      <c r="Q34" s="2" t="s">
        <v>327</v>
      </c>
      <c r="R34" s="2" t="s">
        <v>37</v>
      </c>
      <c r="S34" s="9" t="s">
        <v>328</v>
      </c>
      <c r="T34" s="9" t="s">
        <v>39</v>
      </c>
      <c r="U34" s="9" t="s">
        <v>40</v>
      </c>
      <c r="V34" s="9">
        <v>5</v>
      </c>
      <c r="Y34" s="2" t="s">
        <v>329</v>
      </c>
      <c r="Z34" s="9" t="s">
        <v>42</v>
      </c>
      <c r="AA34" s="7" t="s">
        <v>330</v>
      </c>
      <c r="AB34" s="7" t="s">
        <v>331</v>
      </c>
      <c r="AC34" s="7" t="s">
        <v>332</v>
      </c>
      <c r="AD34" s="7" t="s">
        <v>46</v>
      </c>
      <c r="AE34" s="7" t="s">
        <v>47</v>
      </c>
      <c r="AG34" s="23">
        <v>260</v>
      </c>
      <c r="AH34" s="23" t="s">
        <v>329</v>
      </c>
      <c r="AI34" s="23" t="s">
        <v>1642</v>
      </c>
      <c r="AJ34" s="23" t="s">
        <v>332</v>
      </c>
      <c r="AK34" s="23" t="s">
        <v>47</v>
      </c>
      <c r="AL34" s="23">
        <v>0.39489999999999997</v>
      </c>
      <c r="AM34" s="24">
        <f t="shared" si="1"/>
        <v>5770604.1975999996</v>
      </c>
      <c r="AN34" s="23"/>
      <c r="AO34" s="25">
        <v>1461282400</v>
      </c>
      <c r="AP34" s="23"/>
      <c r="AQ34" s="1" t="s">
        <v>27</v>
      </c>
      <c r="AR34" s="23"/>
      <c r="AS34" s="23"/>
      <c r="AT34" s="28">
        <v>5770604.1975999996</v>
      </c>
      <c r="AU34" s="28">
        <v>8795458.7655999996</v>
      </c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</row>
    <row r="35" spans="1:182" s="9" customFormat="1" x14ac:dyDescent="0.2">
      <c r="A35" s="2" t="s">
        <v>31</v>
      </c>
      <c r="B35" s="1" t="s">
        <v>333</v>
      </c>
      <c r="C35" s="1" t="s">
        <v>27</v>
      </c>
      <c r="D35" s="1" t="s">
        <v>28</v>
      </c>
      <c r="E35" s="8">
        <v>43370</v>
      </c>
      <c r="F35" s="9" t="s">
        <v>29</v>
      </c>
      <c r="G35" s="2" t="s">
        <v>334</v>
      </c>
      <c r="H35" s="2" t="s">
        <v>333</v>
      </c>
      <c r="I35" s="2" t="s">
        <v>335</v>
      </c>
      <c r="J35" s="2" t="s">
        <v>33</v>
      </c>
      <c r="K35" s="10">
        <v>128.47999999999999</v>
      </c>
      <c r="L35" s="11">
        <v>5139.2</v>
      </c>
      <c r="M35" s="2" t="s">
        <v>336</v>
      </c>
      <c r="N35" s="2" t="s">
        <v>35</v>
      </c>
      <c r="O35" s="2">
        <v>22.64</v>
      </c>
      <c r="P35" s="12">
        <f t="shared" si="0"/>
        <v>792.4</v>
      </c>
      <c r="Q35" s="2" t="s">
        <v>337</v>
      </c>
      <c r="R35" s="2" t="s">
        <v>37</v>
      </c>
      <c r="S35" s="9" t="s">
        <v>338</v>
      </c>
      <c r="T35" s="9" t="s">
        <v>39</v>
      </c>
      <c r="U35" s="9" t="s">
        <v>54</v>
      </c>
      <c r="V35" s="9">
        <v>5</v>
      </c>
      <c r="W35" s="9">
        <v>13.5</v>
      </c>
      <c r="X35" s="9">
        <v>0.24</v>
      </c>
      <c r="Y35" s="2" t="s">
        <v>339</v>
      </c>
      <c r="Z35" s="9" t="s">
        <v>42</v>
      </c>
      <c r="AA35" s="7" t="s">
        <v>340</v>
      </c>
      <c r="AB35" s="7" t="s">
        <v>331</v>
      </c>
      <c r="AC35" s="7" t="s">
        <v>332</v>
      </c>
      <c r="AD35" s="7" t="s">
        <v>57</v>
      </c>
      <c r="AE35" s="7" t="s">
        <v>58</v>
      </c>
      <c r="AG35" s="23">
        <v>261</v>
      </c>
      <c r="AH35" s="23" t="s">
        <v>339</v>
      </c>
      <c r="AI35" s="23" t="s">
        <v>1642</v>
      </c>
      <c r="AJ35" s="23" t="s">
        <v>332</v>
      </c>
      <c r="AK35" s="23" t="s">
        <v>58</v>
      </c>
      <c r="AL35" s="23">
        <v>0.44590000000000002</v>
      </c>
      <c r="AM35" s="24">
        <f t="shared" si="1"/>
        <v>6515858.2216000007</v>
      </c>
      <c r="AN35" s="23"/>
      <c r="AO35" s="25">
        <v>1461282400</v>
      </c>
      <c r="AP35" s="23"/>
      <c r="AQ35" s="1" t="s">
        <v>27</v>
      </c>
      <c r="AR35" s="23"/>
      <c r="AS35" s="23"/>
      <c r="AT35" s="28">
        <v>6515858.2216000007</v>
      </c>
      <c r="AU35" s="28">
        <v>6432565.1248000003</v>
      </c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</row>
    <row r="36" spans="1:182" s="9" customFormat="1" x14ac:dyDescent="0.2">
      <c r="A36" s="2" t="s">
        <v>31</v>
      </c>
      <c r="B36" s="1" t="s">
        <v>341</v>
      </c>
      <c r="C36" s="1" t="s">
        <v>27</v>
      </c>
      <c r="D36" s="1" t="s">
        <v>28</v>
      </c>
      <c r="E36" s="8">
        <v>43370</v>
      </c>
      <c r="F36" s="9" t="s">
        <v>29</v>
      </c>
      <c r="G36" s="2" t="s">
        <v>342</v>
      </c>
      <c r="H36" s="2" t="s">
        <v>341</v>
      </c>
      <c r="I36" s="2" t="s">
        <v>343</v>
      </c>
      <c r="J36" s="2" t="s">
        <v>33</v>
      </c>
      <c r="K36" s="10">
        <v>307.68</v>
      </c>
      <c r="L36" s="11">
        <v>12307.2</v>
      </c>
      <c r="M36" s="2" t="s">
        <v>344</v>
      </c>
      <c r="N36" s="2" t="s">
        <v>35</v>
      </c>
      <c r="O36" s="2">
        <v>31.76</v>
      </c>
      <c r="P36" s="12">
        <f t="shared" si="0"/>
        <v>1111.6000000000001</v>
      </c>
      <c r="Q36" s="2" t="s">
        <v>345</v>
      </c>
      <c r="R36" s="2" t="s">
        <v>37</v>
      </c>
      <c r="S36" s="9" t="s">
        <v>346</v>
      </c>
      <c r="T36" s="9" t="s">
        <v>39</v>
      </c>
      <c r="U36" s="9" t="s">
        <v>65</v>
      </c>
      <c r="V36" s="9">
        <v>5</v>
      </c>
      <c r="Y36" s="2" t="s">
        <v>347</v>
      </c>
      <c r="Z36" s="9" t="s">
        <v>42</v>
      </c>
      <c r="AA36" s="7" t="s">
        <v>348</v>
      </c>
      <c r="AB36" s="7" t="s">
        <v>331</v>
      </c>
      <c r="AC36" s="7" t="s">
        <v>332</v>
      </c>
      <c r="AD36" s="7" t="s">
        <v>68</v>
      </c>
      <c r="AE36" s="7" t="s">
        <v>69</v>
      </c>
      <c r="AG36" s="23">
        <v>262</v>
      </c>
      <c r="AH36" s="23" t="s">
        <v>347</v>
      </c>
      <c r="AI36" s="23" t="s">
        <v>1642</v>
      </c>
      <c r="AJ36" s="23" t="s">
        <v>332</v>
      </c>
      <c r="AK36" s="23" t="s">
        <v>69</v>
      </c>
      <c r="AL36" s="23">
        <v>0.371</v>
      </c>
      <c r="AM36" s="24">
        <f t="shared" si="1"/>
        <v>5421357.7039999999</v>
      </c>
      <c r="AN36" s="23"/>
      <c r="AO36" s="25">
        <v>1461282400</v>
      </c>
      <c r="AP36" s="23"/>
      <c r="AQ36" s="1" t="s">
        <v>27</v>
      </c>
      <c r="AR36" s="23"/>
      <c r="AS36" s="23"/>
      <c r="AT36" s="28">
        <v>5421357.7039999999</v>
      </c>
      <c r="AU36" s="28">
        <v>10459859.419199999</v>
      </c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</row>
    <row r="37" spans="1:182" ht="16" x14ac:dyDescent="0.2">
      <c r="A37" s="2" t="s">
        <v>31</v>
      </c>
      <c r="B37" s="1" t="s">
        <v>349</v>
      </c>
      <c r="C37" s="13" t="s">
        <v>350</v>
      </c>
      <c r="D37" s="1" t="s">
        <v>28</v>
      </c>
      <c r="E37" s="14">
        <v>43370</v>
      </c>
      <c r="F37" s="2" t="s">
        <v>29</v>
      </c>
      <c r="G37" s="2" t="s">
        <v>351</v>
      </c>
      <c r="H37" s="2" t="s">
        <v>349</v>
      </c>
      <c r="I37" s="2" t="s">
        <v>352</v>
      </c>
      <c r="J37" s="2" t="s">
        <v>353</v>
      </c>
      <c r="K37" s="2">
        <v>337.04</v>
      </c>
      <c r="L37" s="2">
        <v>6740.8</v>
      </c>
      <c r="M37" s="2" t="s">
        <v>354</v>
      </c>
      <c r="N37" s="2" t="s">
        <v>35</v>
      </c>
      <c r="O37" s="2">
        <v>24.96</v>
      </c>
      <c r="P37" s="12">
        <f t="shared" si="0"/>
        <v>873.6</v>
      </c>
      <c r="Q37" s="2" t="s">
        <v>355</v>
      </c>
      <c r="R37" s="2" t="s">
        <v>37</v>
      </c>
      <c r="S37" s="9" t="s">
        <v>356</v>
      </c>
      <c r="T37" s="9" t="s">
        <v>39</v>
      </c>
      <c r="U37" s="9" t="s">
        <v>76</v>
      </c>
      <c r="V37" s="9">
        <v>5</v>
      </c>
      <c r="Y37" s="2" t="s">
        <v>357</v>
      </c>
      <c r="Z37" s="9" t="s">
        <v>42</v>
      </c>
      <c r="AA37" s="7" t="s">
        <v>358</v>
      </c>
      <c r="AB37" s="7" t="s">
        <v>331</v>
      </c>
      <c r="AC37" s="7" t="s">
        <v>332</v>
      </c>
      <c r="AD37" s="7" t="s">
        <v>79</v>
      </c>
      <c r="AE37" s="7" t="s">
        <v>80</v>
      </c>
      <c r="AG37" s="23">
        <v>263</v>
      </c>
      <c r="AH37" s="23" t="s">
        <v>357</v>
      </c>
      <c r="AI37" s="23" t="s">
        <v>1642</v>
      </c>
      <c r="AJ37" s="23" t="s">
        <v>332</v>
      </c>
      <c r="AK37" s="23" t="s">
        <v>80</v>
      </c>
      <c r="AL37" s="23">
        <v>0.39750000000000002</v>
      </c>
      <c r="AM37" s="24">
        <f t="shared" si="1"/>
        <v>5808597.54</v>
      </c>
      <c r="AN37" s="23"/>
      <c r="AO37" s="25">
        <v>1461282400</v>
      </c>
      <c r="AP37" s="23"/>
      <c r="AQ37" s="13" t="s">
        <v>350</v>
      </c>
      <c r="AR37" s="23"/>
      <c r="AS37" s="23"/>
      <c r="AT37" s="28">
        <v>6901636.7752</v>
      </c>
      <c r="AU37" s="28">
        <v>7207044.7968000006</v>
      </c>
    </row>
    <row r="38" spans="1:182" ht="16" x14ac:dyDescent="0.2">
      <c r="A38" s="2" t="s">
        <v>31</v>
      </c>
      <c r="B38" s="1" t="s">
        <v>359</v>
      </c>
      <c r="C38" s="13" t="s">
        <v>350</v>
      </c>
      <c r="D38" s="1" t="s">
        <v>28</v>
      </c>
      <c r="E38" s="14">
        <v>43370</v>
      </c>
      <c r="F38" s="2" t="s">
        <v>29</v>
      </c>
      <c r="G38" s="2" t="s">
        <v>360</v>
      </c>
      <c r="H38" s="2" t="s">
        <v>359</v>
      </c>
      <c r="I38" s="2" t="s">
        <v>361</v>
      </c>
      <c r="J38" s="2" t="s">
        <v>353</v>
      </c>
      <c r="K38" s="2">
        <v>458.08</v>
      </c>
      <c r="L38" s="2">
        <v>9161.6</v>
      </c>
      <c r="M38" s="2" t="s">
        <v>362</v>
      </c>
      <c r="N38" s="2" t="s">
        <v>35</v>
      </c>
      <c r="O38" s="2">
        <v>27.44</v>
      </c>
      <c r="P38" s="12">
        <f t="shared" si="0"/>
        <v>960.40000000000009</v>
      </c>
      <c r="Q38" s="2" t="s">
        <v>363</v>
      </c>
      <c r="R38" s="2" t="s">
        <v>37</v>
      </c>
      <c r="S38" s="9" t="s">
        <v>364</v>
      </c>
      <c r="T38" s="9" t="s">
        <v>39</v>
      </c>
      <c r="U38" s="9" t="s">
        <v>87</v>
      </c>
      <c r="V38" s="9">
        <v>5</v>
      </c>
      <c r="Y38" s="2" t="s">
        <v>365</v>
      </c>
      <c r="Z38" s="9" t="s">
        <v>42</v>
      </c>
      <c r="AA38" s="7" t="s">
        <v>366</v>
      </c>
      <c r="AB38" s="7" t="s">
        <v>331</v>
      </c>
      <c r="AC38" s="7" t="s">
        <v>332</v>
      </c>
      <c r="AD38" s="7" t="s">
        <v>90</v>
      </c>
      <c r="AE38" s="7" t="s">
        <v>91</v>
      </c>
      <c r="AG38" s="23">
        <v>264</v>
      </c>
      <c r="AH38" s="23" t="s">
        <v>365</v>
      </c>
      <c r="AI38" s="23" t="s">
        <v>1642</v>
      </c>
      <c r="AJ38" s="23" t="s">
        <v>332</v>
      </c>
      <c r="AK38" s="23" t="s">
        <v>91</v>
      </c>
      <c r="AL38" s="23">
        <v>0.38</v>
      </c>
      <c r="AM38" s="24">
        <f t="shared" si="1"/>
        <v>5552873.1200000001</v>
      </c>
      <c r="AN38" s="23"/>
      <c r="AO38" s="25">
        <v>1461282400</v>
      </c>
      <c r="AP38" s="23"/>
      <c r="AQ38" s="13" t="s">
        <v>350</v>
      </c>
      <c r="AR38" s="23"/>
      <c r="AS38" s="23"/>
      <c r="AT38" s="28">
        <v>6954242.9415999996</v>
      </c>
      <c r="AU38" s="28">
        <v>7822244.6872000005</v>
      </c>
    </row>
    <row r="39" spans="1:182" ht="16" x14ac:dyDescent="0.2">
      <c r="A39" s="2" t="s">
        <v>31</v>
      </c>
      <c r="B39" s="1" t="s">
        <v>367</v>
      </c>
      <c r="C39" s="13" t="s">
        <v>350</v>
      </c>
      <c r="D39" s="1" t="s">
        <v>28</v>
      </c>
      <c r="E39" s="14">
        <v>43370</v>
      </c>
      <c r="F39" s="2" t="s">
        <v>29</v>
      </c>
      <c r="G39" s="2" t="s">
        <v>368</v>
      </c>
      <c r="H39" s="2" t="s">
        <v>367</v>
      </c>
      <c r="I39" s="2" t="s">
        <v>369</v>
      </c>
      <c r="J39" s="2" t="s">
        <v>353</v>
      </c>
      <c r="K39" s="2">
        <v>816.24</v>
      </c>
      <c r="L39" s="2">
        <v>16324.8</v>
      </c>
      <c r="M39" s="2" t="s">
        <v>370</v>
      </c>
      <c r="N39" s="2" t="s">
        <v>35</v>
      </c>
      <c r="O39" s="2">
        <v>28.88</v>
      </c>
      <c r="P39" s="12">
        <f t="shared" si="0"/>
        <v>1010.8</v>
      </c>
      <c r="Q39" s="2" t="s">
        <v>371</v>
      </c>
      <c r="R39" s="2" t="s">
        <v>37</v>
      </c>
      <c r="S39" s="9" t="s">
        <v>372</v>
      </c>
      <c r="T39" s="9" t="s">
        <v>39</v>
      </c>
      <c r="U39" s="9" t="s">
        <v>98</v>
      </c>
      <c r="V39" s="9">
        <v>5</v>
      </c>
      <c r="Y39" s="2" t="s">
        <v>373</v>
      </c>
      <c r="Z39" s="9" t="s">
        <v>42</v>
      </c>
      <c r="AA39" s="7" t="s">
        <v>374</v>
      </c>
      <c r="AB39" s="7" t="s">
        <v>331</v>
      </c>
      <c r="AC39" s="7" t="s">
        <v>332</v>
      </c>
      <c r="AD39" s="7" t="s">
        <v>101</v>
      </c>
      <c r="AE39" s="7" t="s">
        <v>102</v>
      </c>
      <c r="AG39" s="23">
        <v>265</v>
      </c>
      <c r="AH39" s="23" t="s">
        <v>373</v>
      </c>
      <c r="AI39" s="23" t="s">
        <v>1642</v>
      </c>
      <c r="AJ39" s="23" t="s">
        <v>332</v>
      </c>
      <c r="AK39" s="23" t="s">
        <v>102</v>
      </c>
      <c r="AL39" s="23">
        <v>0.30059999999999998</v>
      </c>
      <c r="AM39" s="24">
        <f t="shared" si="1"/>
        <v>4392614.8943999996</v>
      </c>
      <c r="AN39" s="23"/>
      <c r="AO39" s="25">
        <v>1461282400</v>
      </c>
      <c r="AP39" s="23"/>
      <c r="AQ39" s="13" t="s">
        <v>350</v>
      </c>
      <c r="AR39" s="23"/>
      <c r="AS39" s="23"/>
      <c r="AT39" s="28">
        <v>6900175.4928000001</v>
      </c>
      <c r="AU39" s="28">
        <v>7990292.1631999994</v>
      </c>
    </row>
    <row r="40" spans="1:182" ht="16" x14ac:dyDescent="0.2">
      <c r="A40" s="2" t="s">
        <v>31</v>
      </c>
      <c r="B40" s="1" t="s">
        <v>375</v>
      </c>
      <c r="C40" s="13" t="s">
        <v>350</v>
      </c>
      <c r="D40" s="1" t="s">
        <v>28</v>
      </c>
      <c r="E40" s="14">
        <v>43370</v>
      </c>
      <c r="F40" s="2" t="s">
        <v>29</v>
      </c>
      <c r="G40" s="2" t="s">
        <v>376</v>
      </c>
      <c r="H40" s="2" t="s">
        <v>375</v>
      </c>
      <c r="I40" s="2" t="s">
        <v>377</v>
      </c>
      <c r="J40" s="2" t="s">
        <v>353</v>
      </c>
      <c r="K40" s="2">
        <v>230.64</v>
      </c>
      <c r="L40" s="2">
        <v>4612.7999999999993</v>
      </c>
      <c r="M40" s="2" t="s">
        <v>378</v>
      </c>
      <c r="N40" s="2" t="s">
        <v>35</v>
      </c>
      <c r="O40" s="2">
        <v>28.56</v>
      </c>
      <c r="P40" s="12">
        <f t="shared" si="0"/>
        <v>999.59999999999991</v>
      </c>
      <c r="Q40" s="2" t="s">
        <v>379</v>
      </c>
      <c r="R40" s="2" t="s">
        <v>37</v>
      </c>
      <c r="S40" s="9" t="s">
        <v>380</v>
      </c>
      <c r="T40" s="9" t="s">
        <v>39</v>
      </c>
      <c r="U40" s="9" t="s">
        <v>109</v>
      </c>
      <c r="V40" s="9">
        <v>5</v>
      </c>
      <c r="Y40" s="2" t="s">
        <v>381</v>
      </c>
      <c r="Z40" s="9" t="s">
        <v>42</v>
      </c>
      <c r="AA40" s="7" t="s">
        <v>382</v>
      </c>
      <c r="AB40" s="7" t="s">
        <v>331</v>
      </c>
      <c r="AC40" s="7" t="s">
        <v>332</v>
      </c>
      <c r="AD40" s="7" t="s">
        <v>112</v>
      </c>
      <c r="AE40" s="7" t="s">
        <v>113</v>
      </c>
      <c r="AG40" s="23">
        <v>266</v>
      </c>
      <c r="AH40" s="23" t="s">
        <v>381</v>
      </c>
      <c r="AI40" s="23" t="s">
        <v>1642</v>
      </c>
      <c r="AJ40" s="23" t="s">
        <v>332</v>
      </c>
      <c r="AK40" s="23" t="s">
        <v>113</v>
      </c>
      <c r="AL40" s="23">
        <v>0.3856</v>
      </c>
      <c r="AM40" s="24">
        <f t="shared" si="1"/>
        <v>5634704.9343999997</v>
      </c>
      <c r="AN40" s="23"/>
      <c r="AO40" s="25">
        <v>1461282400</v>
      </c>
      <c r="AP40" s="23"/>
      <c r="AQ40" s="13" t="s">
        <v>350</v>
      </c>
      <c r="AR40" s="23"/>
      <c r="AS40" s="23"/>
      <c r="AT40" s="28">
        <v>8466670.2256000005</v>
      </c>
      <c r="AU40" s="28">
        <v>8681478.7383999992</v>
      </c>
    </row>
    <row r="41" spans="1:182" ht="16" x14ac:dyDescent="0.2">
      <c r="A41" s="2" t="s">
        <v>31</v>
      </c>
      <c r="B41" s="1" t="s">
        <v>383</v>
      </c>
      <c r="C41" s="13" t="s">
        <v>350</v>
      </c>
      <c r="D41" s="1" t="s">
        <v>28</v>
      </c>
      <c r="E41" s="14">
        <v>43370</v>
      </c>
      <c r="F41" s="2" t="s">
        <v>29</v>
      </c>
      <c r="G41" s="2" t="s">
        <v>384</v>
      </c>
      <c r="H41" s="2" t="s">
        <v>383</v>
      </c>
      <c r="I41" s="2" t="s">
        <v>385</v>
      </c>
      <c r="J41" s="2" t="s">
        <v>353</v>
      </c>
      <c r="K41" s="2">
        <v>685.6</v>
      </c>
      <c r="L41" s="2">
        <v>13712</v>
      </c>
      <c r="M41" s="2" t="s">
        <v>386</v>
      </c>
      <c r="N41" s="2" t="s">
        <v>35</v>
      </c>
      <c r="O41" s="2">
        <v>50.48</v>
      </c>
      <c r="P41" s="12">
        <f t="shared" si="0"/>
        <v>1766.8</v>
      </c>
      <c r="Q41" s="2" t="s">
        <v>387</v>
      </c>
      <c r="R41" s="2" t="s">
        <v>37</v>
      </c>
      <c r="S41" s="9" t="s">
        <v>388</v>
      </c>
      <c r="T41" s="9" t="s">
        <v>39</v>
      </c>
      <c r="U41" s="9" t="s">
        <v>120</v>
      </c>
      <c r="V41" s="9">
        <v>5</v>
      </c>
      <c r="Y41" s="2" t="s">
        <v>389</v>
      </c>
      <c r="Z41" s="9" t="s">
        <v>42</v>
      </c>
      <c r="AA41" s="7" t="s">
        <v>390</v>
      </c>
      <c r="AB41" s="7" t="s">
        <v>331</v>
      </c>
      <c r="AC41" s="7" t="s">
        <v>332</v>
      </c>
      <c r="AD41" s="7" t="s">
        <v>123</v>
      </c>
      <c r="AE41" s="7" t="s">
        <v>124</v>
      </c>
      <c r="AG41" s="23">
        <v>267</v>
      </c>
      <c r="AH41" s="23" t="s">
        <v>389</v>
      </c>
      <c r="AI41" s="23" t="s">
        <v>1642</v>
      </c>
      <c r="AJ41" s="23" t="s">
        <v>332</v>
      </c>
      <c r="AK41" s="23" t="s">
        <v>124</v>
      </c>
      <c r="AL41" s="23">
        <v>0.313</v>
      </c>
      <c r="AM41" s="24">
        <f t="shared" si="1"/>
        <v>4573813.9119999995</v>
      </c>
      <c r="AN41" s="23"/>
      <c r="AO41" s="25">
        <v>1461282400</v>
      </c>
      <c r="AP41" s="23"/>
      <c r="AQ41" s="13" t="s">
        <v>350</v>
      </c>
      <c r="AR41" s="23"/>
      <c r="AS41" s="23"/>
      <c r="AT41" s="28">
        <v>8314696.8559999987</v>
      </c>
      <c r="AU41" s="28">
        <v>8579188.9704</v>
      </c>
    </row>
    <row r="42" spans="1:182" ht="16" x14ac:dyDescent="0.2">
      <c r="A42" s="2" t="s">
        <v>31</v>
      </c>
      <c r="B42" s="1" t="s">
        <v>391</v>
      </c>
      <c r="C42" s="13" t="s">
        <v>350</v>
      </c>
      <c r="D42" s="1" t="s">
        <v>28</v>
      </c>
      <c r="E42" s="14">
        <v>43370</v>
      </c>
      <c r="F42" s="2" t="s">
        <v>29</v>
      </c>
      <c r="G42" s="2" t="s">
        <v>392</v>
      </c>
      <c r="H42" s="2" t="s">
        <v>391</v>
      </c>
      <c r="I42" s="2" t="s">
        <v>393</v>
      </c>
      <c r="J42" s="2" t="s">
        <v>353</v>
      </c>
      <c r="K42" s="2">
        <v>483.04</v>
      </c>
      <c r="L42" s="2">
        <v>9660.8000000000011</v>
      </c>
      <c r="M42" s="2" t="s">
        <v>394</v>
      </c>
      <c r="N42" s="2" t="s">
        <v>35</v>
      </c>
      <c r="O42" s="2">
        <v>32.4</v>
      </c>
      <c r="P42" s="12">
        <f t="shared" si="0"/>
        <v>1134</v>
      </c>
      <c r="Q42" s="2" t="s">
        <v>395</v>
      </c>
      <c r="R42" s="2" t="s">
        <v>37</v>
      </c>
      <c r="S42" s="9" t="s">
        <v>396</v>
      </c>
      <c r="T42" s="9" t="s">
        <v>39</v>
      </c>
      <c r="U42" s="9" t="s">
        <v>40</v>
      </c>
      <c r="V42" s="9">
        <v>6</v>
      </c>
      <c r="Y42" s="2" t="s">
        <v>397</v>
      </c>
      <c r="Z42" s="9" t="s">
        <v>42</v>
      </c>
      <c r="AA42" s="7" t="s">
        <v>398</v>
      </c>
      <c r="AB42" s="7" t="s">
        <v>399</v>
      </c>
      <c r="AC42" s="7" t="s">
        <v>400</v>
      </c>
      <c r="AD42" s="7" t="s">
        <v>46</v>
      </c>
      <c r="AE42" s="7" t="s">
        <v>47</v>
      </c>
      <c r="AG42" s="23">
        <v>268</v>
      </c>
      <c r="AH42" s="23" t="s">
        <v>397</v>
      </c>
      <c r="AI42" s="23" t="s">
        <v>1642</v>
      </c>
      <c r="AJ42" s="23" t="s">
        <v>400</v>
      </c>
      <c r="AK42" s="23" t="s">
        <v>47</v>
      </c>
      <c r="AL42" s="23">
        <v>0.34379999999999999</v>
      </c>
      <c r="AM42" s="24">
        <f t="shared" si="1"/>
        <v>5023888.8912000004</v>
      </c>
      <c r="AN42" s="23"/>
      <c r="AO42" s="25">
        <v>1461282400</v>
      </c>
      <c r="AP42" s="23"/>
      <c r="AQ42" s="13" t="s">
        <v>350</v>
      </c>
      <c r="AR42" s="23"/>
      <c r="AS42" s="23"/>
      <c r="AT42" s="28">
        <v>7044842.4503999995</v>
      </c>
      <c r="AU42" s="28">
        <v>8121807.5791999996</v>
      </c>
    </row>
    <row r="43" spans="1:182" ht="16" x14ac:dyDescent="0.2">
      <c r="A43" s="2" t="s">
        <v>31</v>
      </c>
      <c r="B43" s="1" t="s">
        <v>401</v>
      </c>
      <c r="C43" s="13" t="s">
        <v>350</v>
      </c>
      <c r="D43" s="1" t="s">
        <v>28</v>
      </c>
      <c r="E43" s="14">
        <v>43370</v>
      </c>
      <c r="F43" s="2" t="s">
        <v>29</v>
      </c>
      <c r="G43" s="2" t="s">
        <v>402</v>
      </c>
      <c r="H43" s="2" t="s">
        <v>401</v>
      </c>
      <c r="I43" s="2" t="s">
        <v>403</v>
      </c>
      <c r="J43" s="2" t="s">
        <v>353</v>
      </c>
      <c r="K43" s="2">
        <v>276.56</v>
      </c>
      <c r="L43" s="2">
        <v>5531.2</v>
      </c>
      <c r="M43" s="2" t="s">
        <v>404</v>
      </c>
      <c r="N43" s="2" t="s">
        <v>35</v>
      </c>
      <c r="O43" s="2">
        <v>32.159999999999997</v>
      </c>
      <c r="P43" s="12">
        <f t="shared" si="0"/>
        <v>1125.5999999999999</v>
      </c>
      <c r="Q43" s="2" t="s">
        <v>405</v>
      </c>
      <c r="R43" s="2" t="s">
        <v>37</v>
      </c>
      <c r="S43" s="9" t="s">
        <v>406</v>
      </c>
      <c r="T43" s="9" t="s">
        <v>39</v>
      </c>
      <c r="U43" s="9" t="s">
        <v>54</v>
      </c>
      <c r="V43" s="9">
        <v>6</v>
      </c>
      <c r="Y43" s="2" t="s">
        <v>407</v>
      </c>
      <c r="Z43" s="9" t="s">
        <v>42</v>
      </c>
      <c r="AA43" s="7" t="s">
        <v>408</v>
      </c>
      <c r="AB43" s="7" t="s">
        <v>399</v>
      </c>
      <c r="AC43" s="7" t="s">
        <v>400</v>
      </c>
      <c r="AD43" s="7" t="s">
        <v>57</v>
      </c>
      <c r="AE43" s="7" t="s">
        <v>58</v>
      </c>
      <c r="AG43" s="23">
        <v>269</v>
      </c>
      <c r="AH43" s="23" t="s">
        <v>407</v>
      </c>
      <c r="AI43" s="23" t="s">
        <v>1642</v>
      </c>
      <c r="AJ43" s="23" t="s">
        <v>400</v>
      </c>
      <c r="AK43" s="23" t="s">
        <v>58</v>
      </c>
      <c r="AL43" s="23">
        <v>0.31490000000000001</v>
      </c>
      <c r="AM43" s="24">
        <f t="shared" si="1"/>
        <v>4601578.2775999997</v>
      </c>
      <c r="AN43" s="23"/>
      <c r="AO43" s="25">
        <v>1461282400</v>
      </c>
      <c r="AP43" s="23"/>
      <c r="AQ43" s="13" t="s">
        <v>350</v>
      </c>
      <c r="AR43" s="23"/>
      <c r="AS43" s="23"/>
      <c r="AT43" s="28">
        <v>6356578.4400000004</v>
      </c>
      <c r="AU43" s="28">
        <v>6282053.0375999995</v>
      </c>
    </row>
    <row r="44" spans="1:182" ht="16" x14ac:dyDescent="0.2">
      <c r="A44" s="2" t="s">
        <v>31</v>
      </c>
      <c r="B44" s="1" t="s">
        <v>409</v>
      </c>
      <c r="C44" s="13" t="s">
        <v>350</v>
      </c>
      <c r="D44" s="1" t="s">
        <v>28</v>
      </c>
      <c r="E44" s="14">
        <v>43370</v>
      </c>
      <c r="F44" s="2" t="s">
        <v>29</v>
      </c>
      <c r="G44" s="2" t="s">
        <v>410</v>
      </c>
      <c r="H44" s="2" t="s">
        <v>409</v>
      </c>
      <c r="I44" s="2" t="s">
        <v>411</v>
      </c>
      <c r="J44" s="2" t="s">
        <v>353</v>
      </c>
      <c r="K44" s="2">
        <v>836.64</v>
      </c>
      <c r="L44" s="2">
        <v>16732.8</v>
      </c>
      <c r="M44" s="2" t="s">
        <v>412</v>
      </c>
      <c r="N44" s="2" t="s">
        <v>35</v>
      </c>
      <c r="O44" s="2">
        <v>31.68</v>
      </c>
      <c r="P44" s="12">
        <f t="shared" si="0"/>
        <v>1108.8</v>
      </c>
      <c r="Q44" s="2" t="s">
        <v>413</v>
      </c>
      <c r="R44" s="2" t="s">
        <v>37</v>
      </c>
      <c r="S44" s="9" t="s">
        <v>414</v>
      </c>
      <c r="T44" s="9" t="s">
        <v>39</v>
      </c>
      <c r="U44" s="9" t="s">
        <v>65</v>
      </c>
      <c r="V44" s="9">
        <v>6</v>
      </c>
      <c r="Y44" s="2" t="s">
        <v>415</v>
      </c>
      <c r="Z44" s="9" t="s">
        <v>42</v>
      </c>
      <c r="AA44" s="7" t="s">
        <v>416</v>
      </c>
      <c r="AB44" s="7" t="s">
        <v>399</v>
      </c>
      <c r="AC44" s="7" t="s">
        <v>400</v>
      </c>
      <c r="AD44" s="7" t="s">
        <v>68</v>
      </c>
      <c r="AE44" s="7" t="s">
        <v>69</v>
      </c>
      <c r="AG44" s="23">
        <v>270</v>
      </c>
      <c r="AH44" s="23" t="s">
        <v>415</v>
      </c>
      <c r="AI44" s="23" t="s">
        <v>1642</v>
      </c>
      <c r="AJ44" s="23" t="s">
        <v>400</v>
      </c>
      <c r="AK44" s="23" t="s">
        <v>69</v>
      </c>
      <c r="AL44" s="23">
        <v>0.4128</v>
      </c>
      <c r="AM44" s="24">
        <f t="shared" si="1"/>
        <v>6032173.7472000001</v>
      </c>
      <c r="AN44" s="23"/>
      <c r="AO44" s="25">
        <v>1461282400</v>
      </c>
      <c r="AP44" s="23"/>
      <c r="AQ44" s="13" t="s">
        <v>350</v>
      </c>
      <c r="AR44" s="23"/>
      <c r="AS44" s="23"/>
      <c r="AT44" s="28">
        <v>9322981.7120000012</v>
      </c>
      <c r="AU44" s="28">
        <v>8292777.6200000001</v>
      </c>
    </row>
    <row r="45" spans="1:182" ht="16" x14ac:dyDescent="0.2">
      <c r="A45" s="2" t="s">
        <v>31</v>
      </c>
      <c r="B45" s="1" t="s">
        <v>417</v>
      </c>
      <c r="C45" s="13" t="s">
        <v>350</v>
      </c>
      <c r="D45" s="1" t="s">
        <v>28</v>
      </c>
      <c r="E45" s="14">
        <v>43370</v>
      </c>
      <c r="F45" s="2" t="s">
        <v>29</v>
      </c>
      <c r="G45" s="2" t="s">
        <v>418</v>
      </c>
      <c r="H45" s="2" t="s">
        <v>417</v>
      </c>
      <c r="I45" s="2" t="s">
        <v>419</v>
      </c>
      <c r="J45" s="2" t="s">
        <v>353</v>
      </c>
      <c r="K45" s="2">
        <v>251.2</v>
      </c>
      <c r="L45" s="2">
        <v>5024</v>
      </c>
      <c r="M45" s="2" t="s">
        <v>420</v>
      </c>
      <c r="N45" s="2" t="s">
        <v>35</v>
      </c>
      <c r="O45" s="2">
        <v>32.479999999999997</v>
      </c>
      <c r="P45" s="12">
        <f t="shared" si="0"/>
        <v>1136.8</v>
      </c>
      <c r="Q45" s="2" t="s">
        <v>421</v>
      </c>
      <c r="R45" s="2" t="s">
        <v>37</v>
      </c>
      <c r="S45" s="9" t="s">
        <v>422</v>
      </c>
      <c r="T45" s="9" t="s">
        <v>39</v>
      </c>
      <c r="U45" s="9" t="s">
        <v>76</v>
      </c>
      <c r="V45" s="9">
        <v>6</v>
      </c>
      <c r="Y45" s="2" t="s">
        <v>423</v>
      </c>
      <c r="Z45" s="9" t="s">
        <v>42</v>
      </c>
      <c r="AA45" s="7" t="s">
        <v>424</v>
      </c>
      <c r="AB45" s="7" t="s">
        <v>399</v>
      </c>
      <c r="AC45" s="7" t="s">
        <v>400</v>
      </c>
      <c r="AD45" s="7" t="s">
        <v>79</v>
      </c>
      <c r="AE45" s="7" t="s">
        <v>80</v>
      </c>
      <c r="AG45" s="23">
        <v>271</v>
      </c>
      <c r="AH45" s="23" t="s">
        <v>423</v>
      </c>
      <c r="AI45" s="23" t="s">
        <v>1642</v>
      </c>
      <c r="AJ45" s="23" t="s">
        <v>400</v>
      </c>
      <c r="AK45" s="23" t="s">
        <v>80</v>
      </c>
      <c r="AL45" s="23">
        <v>0.32840000000000003</v>
      </c>
      <c r="AM45" s="24">
        <f t="shared" si="1"/>
        <v>4798851.4016000004</v>
      </c>
      <c r="AN45" s="23"/>
      <c r="AO45" s="25">
        <v>1461282400</v>
      </c>
      <c r="AP45" s="23"/>
      <c r="AQ45" s="13" t="s">
        <v>350</v>
      </c>
      <c r="AR45" s="23"/>
      <c r="AS45" s="23"/>
      <c r="AT45" s="28">
        <v>7996137.2927999999</v>
      </c>
      <c r="AU45" s="28">
        <v>6417952.3007999994</v>
      </c>
    </row>
    <row r="46" spans="1:182" ht="16" x14ac:dyDescent="0.2">
      <c r="A46" s="2" t="s">
        <v>31</v>
      </c>
      <c r="B46" s="1" t="s">
        <v>425</v>
      </c>
      <c r="C46" s="13" t="s">
        <v>350</v>
      </c>
      <c r="D46" s="1" t="s">
        <v>28</v>
      </c>
      <c r="E46" s="14">
        <v>43370</v>
      </c>
      <c r="F46" s="2" t="s">
        <v>29</v>
      </c>
      <c r="G46" s="2" t="s">
        <v>426</v>
      </c>
      <c r="H46" s="2" t="s">
        <v>425</v>
      </c>
      <c r="I46" s="2" t="s">
        <v>427</v>
      </c>
      <c r="J46" s="2" t="s">
        <v>353</v>
      </c>
      <c r="K46" s="2">
        <v>176.4</v>
      </c>
      <c r="L46" s="2">
        <v>3528</v>
      </c>
      <c r="M46" s="2" t="s">
        <v>428</v>
      </c>
      <c r="N46" s="2" t="s">
        <v>35</v>
      </c>
      <c r="O46" s="2">
        <v>32.159999999999997</v>
      </c>
      <c r="P46" s="12">
        <f t="shared" si="0"/>
        <v>1125.5999999999999</v>
      </c>
      <c r="Q46" s="2" t="s">
        <v>429</v>
      </c>
      <c r="R46" s="2" t="s">
        <v>37</v>
      </c>
      <c r="S46" s="9" t="s">
        <v>430</v>
      </c>
      <c r="T46" s="9" t="s">
        <v>39</v>
      </c>
      <c r="U46" s="9" t="s">
        <v>87</v>
      </c>
      <c r="V46" s="9">
        <v>6</v>
      </c>
      <c r="Y46" s="2" t="s">
        <v>431</v>
      </c>
      <c r="Z46" s="9" t="s">
        <v>42</v>
      </c>
      <c r="AA46" s="7" t="s">
        <v>432</v>
      </c>
      <c r="AB46" s="7" t="s">
        <v>399</v>
      </c>
      <c r="AC46" s="7" t="s">
        <v>400</v>
      </c>
      <c r="AD46" s="7" t="s">
        <v>90</v>
      </c>
      <c r="AE46" s="7" t="s">
        <v>91</v>
      </c>
      <c r="AG46" s="23">
        <v>272</v>
      </c>
      <c r="AH46" s="23" t="s">
        <v>431</v>
      </c>
      <c r="AI46" s="23" t="s">
        <v>1642</v>
      </c>
      <c r="AJ46" s="23" t="s">
        <v>400</v>
      </c>
      <c r="AK46" s="23" t="s">
        <v>91</v>
      </c>
      <c r="AL46" s="23">
        <v>0.33650000000000002</v>
      </c>
      <c r="AM46" s="24">
        <f t="shared" si="1"/>
        <v>4917215.2760000005</v>
      </c>
      <c r="AN46" s="23"/>
      <c r="AO46" s="25">
        <v>1461282400</v>
      </c>
      <c r="AP46" s="23"/>
      <c r="AQ46" s="13" t="s">
        <v>350</v>
      </c>
      <c r="AR46" s="23"/>
      <c r="AS46" s="23"/>
      <c r="AT46" s="28">
        <v>5566024.6615999993</v>
      </c>
      <c r="AU46" s="28">
        <v>3695583.1896000002</v>
      </c>
    </row>
    <row r="47" spans="1:182" ht="16" x14ac:dyDescent="0.2">
      <c r="A47" s="2" t="s">
        <v>31</v>
      </c>
      <c r="B47" s="1" t="s">
        <v>433</v>
      </c>
      <c r="C47" s="13" t="s">
        <v>350</v>
      </c>
      <c r="D47" s="1" t="s">
        <v>28</v>
      </c>
      <c r="E47" s="14">
        <v>43370</v>
      </c>
      <c r="F47" s="2" t="s">
        <v>29</v>
      </c>
      <c r="G47" s="2" t="s">
        <v>434</v>
      </c>
      <c r="H47" s="2" t="s">
        <v>433</v>
      </c>
      <c r="I47" s="2" t="s">
        <v>435</v>
      </c>
      <c r="J47" s="2" t="s">
        <v>353</v>
      </c>
      <c r="K47" s="2">
        <v>307.36</v>
      </c>
      <c r="L47" s="2">
        <v>6147.2000000000007</v>
      </c>
      <c r="M47" s="2" t="s">
        <v>436</v>
      </c>
      <c r="N47" s="2" t="s">
        <v>35</v>
      </c>
      <c r="O47" s="2">
        <v>33.04</v>
      </c>
      <c r="P47" s="12">
        <f t="shared" si="0"/>
        <v>1156.3999999999999</v>
      </c>
      <c r="Q47" s="2" t="s">
        <v>437</v>
      </c>
      <c r="R47" s="2" t="s">
        <v>37</v>
      </c>
      <c r="S47" s="9" t="s">
        <v>438</v>
      </c>
      <c r="T47" s="9" t="s">
        <v>39</v>
      </c>
      <c r="U47" s="9" t="s">
        <v>98</v>
      </c>
      <c r="V47" s="9">
        <v>6</v>
      </c>
      <c r="Y47" s="2" t="s">
        <v>439</v>
      </c>
      <c r="Z47" s="9" t="s">
        <v>42</v>
      </c>
      <c r="AA47" s="7" t="s">
        <v>440</v>
      </c>
      <c r="AB47" s="7" t="s">
        <v>399</v>
      </c>
      <c r="AC47" s="7" t="s">
        <v>400</v>
      </c>
      <c r="AD47" s="7" t="s">
        <v>101</v>
      </c>
      <c r="AE47" s="7" t="s">
        <v>102</v>
      </c>
      <c r="AG47" s="23">
        <v>273</v>
      </c>
      <c r="AH47" s="23" t="s">
        <v>439</v>
      </c>
      <c r="AI47" s="23" t="s">
        <v>1642</v>
      </c>
      <c r="AJ47" s="23" t="s">
        <v>400</v>
      </c>
      <c r="AK47" s="23" t="s">
        <v>102</v>
      </c>
      <c r="AL47" s="23">
        <v>0.22439999999999999</v>
      </c>
      <c r="AM47" s="24">
        <f t="shared" si="1"/>
        <v>3279117.7056</v>
      </c>
      <c r="AN47" s="23"/>
      <c r="AO47" s="25">
        <v>1461282400</v>
      </c>
      <c r="AP47" s="23"/>
      <c r="AQ47" s="13" t="s">
        <v>350</v>
      </c>
      <c r="AR47" s="23"/>
      <c r="AS47" s="23"/>
      <c r="AT47" s="28">
        <v>7421853.3096000003</v>
      </c>
      <c r="AU47" s="28">
        <v>4632265.2080000006</v>
      </c>
    </row>
    <row r="48" spans="1:182" ht="16" x14ac:dyDescent="0.2">
      <c r="A48" s="2" t="s">
        <v>31</v>
      </c>
      <c r="B48" s="1" t="s">
        <v>441</v>
      </c>
      <c r="C48" s="13" t="s">
        <v>350</v>
      </c>
      <c r="D48" s="1" t="s">
        <v>28</v>
      </c>
      <c r="E48" s="14">
        <v>43370</v>
      </c>
      <c r="F48" s="2" t="s">
        <v>29</v>
      </c>
      <c r="G48" s="2" t="s">
        <v>442</v>
      </c>
      <c r="H48" s="2" t="s">
        <v>441</v>
      </c>
      <c r="I48" s="2" t="s">
        <v>443</v>
      </c>
      <c r="J48" s="2" t="s">
        <v>353</v>
      </c>
      <c r="K48" s="2">
        <v>688.48</v>
      </c>
      <c r="L48" s="2">
        <v>13769.6</v>
      </c>
      <c r="M48" s="2" t="s">
        <v>444</v>
      </c>
      <c r="N48" s="2" t="s">
        <v>35</v>
      </c>
      <c r="O48" s="2">
        <v>32.96</v>
      </c>
      <c r="P48" s="12">
        <f t="shared" si="0"/>
        <v>1153.6000000000001</v>
      </c>
      <c r="Q48" s="2" t="s">
        <v>445</v>
      </c>
      <c r="R48" s="2" t="s">
        <v>37</v>
      </c>
      <c r="S48" s="9" t="s">
        <v>446</v>
      </c>
      <c r="T48" s="9" t="s">
        <v>39</v>
      </c>
      <c r="U48" s="9" t="s">
        <v>109</v>
      </c>
      <c r="V48" s="9">
        <v>6</v>
      </c>
      <c r="Y48" s="2" t="s">
        <v>447</v>
      </c>
      <c r="Z48" s="9" t="s">
        <v>42</v>
      </c>
      <c r="AA48" s="7" t="s">
        <v>448</v>
      </c>
      <c r="AB48" s="7" t="s">
        <v>399</v>
      </c>
      <c r="AC48" s="7" t="s">
        <v>400</v>
      </c>
      <c r="AD48" s="7" t="s">
        <v>112</v>
      </c>
      <c r="AE48" s="7" t="s">
        <v>113</v>
      </c>
      <c r="AG48" s="23">
        <v>274</v>
      </c>
      <c r="AH48" s="23" t="s">
        <v>447</v>
      </c>
      <c r="AI48" s="23" t="s">
        <v>1642</v>
      </c>
      <c r="AJ48" s="23" t="s">
        <v>400</v>
      </c>
      <c r="AK48" s="23" t="s">
        <v>113</v>
      </c>
      <c r="AL48" s="23">
        <v>0.26879999999999998</v>
      </c>
      <c r="AM48" s="24">
        <f t="shared" si="1"/>
        <v>3927927.0912000001</v>
      </c>
      <c r="AN48" s="23"/>
      <c r="AO48" s="25">
        <v>1461282400</v>
      </c>
      <c r="AP48" s="23"/>
      <c r="AQ48" s="13" t="s">
        <v>350</v>
      </c>
      <c r="AR48" s="23"/>
      <c r="AS48" s="23"/>
      <c r="AT48" s="28">
        <v>7079913.2279999992</v>
      </c>
      <c r="AU48" s="28">
        <v>5941574.2384000001</v>
      </c>
    </row>
    <row r="49" spans="1:47" ht="16" x14ac:dyDescent="0.2">
      <c r="A49" s="2" t="s">
        <v>31</v>
      </c>
      <c r="B49" s="1" t="s">
        <v>449</v>
      </c>
      <c r="C49" s="13" t="s">
        <v>350</v>
      </c>
      <c r="D49" s="1" t="s">
        <v>28</v>
      </c>
      <c r="E49" s="14">
        <v>43370</v>
      </c>
      <c r="F49" s="2" t="s">
        <v>29</v>
      </c>
      <c r="G49" s="2" t="s">
        <v>450</v>
      </c>
      <c r="H49" s="2" t="s">
        <v>449</v>
      </c>
      <c r="I49" s="2" t="s">
        <v>451</v>
      </c>
      <c r="J49" s="2" t="s">
        <v>353</v>
      </c>
      <c r="K49" s="2">
        <v>178.48</v>
      </c>
      <c r="L49" s="2">
        <v>3569.6</v>
      </c>
      <c r="M49" s="2" t="s">
        <v>452</v>
      </c>
      <c r="N49" s="2" t="s">
        <v>35</v>
      </c>
      <c r="O49" s="2">
        <v>51.04</v>
      </c>
      <c r="P49" s="12">
        <f t="shared" si="0"/>
        <v>1786.3999999999999</v>
      </c>
      <c r="Q49" s="2" t="s">
        <v>453</v>
      </c>
      <c r="R49" s="2" t="s">
        <v>37</v>
      </c>
      <c r="S49" s="9" t="s">
        <v>454</v>
      </c>
      <c r="T49" s="9" t="s">
        <v>39</v>
      </c>
      <c r="U49" s="9" t="s">
        <v>120</v>
      </c>
      <c r="V49" s="9">
        <v>6</v>
      </c>
      <c r="W49" s="2">
        <v>32.1</v>
      </c>
      <c r="X49" s="2">
        <v>0.38</v>
      </c>
      <c r="Y49" s="2" t="s">
        <v>455</v>
      </c>
      <c r="Z49" s="9" t="s">
        <v>42</v>
      </c>
      <c r="AA49" s="7" t="s">
        <v>456</v>
      </c>
      <c r="AB49" s="7" t="s">
        <v>399</v>
      </c>
      <c r="AC49" s="7" t="s">
        <v>400</v>
      </c>
      <c r="AD49" s="7" t="s">
        <v>123</v>
      </c>
      <c r="AE49" s="7" t="s">
        <v>124</v>
      </c>
      <c r="AG49" s="23">
        <v>275</v>
      </c>
      <c r="AH49" s="23" t="s">
        <v>455</v>
      </c>
      <c r="AI49" s="23" t="s">
        <v>1642</v>
      </c>
      <c r="AJ49" s="23" t="s">
        <v>400</v>
      </c>
      <c r="AK49" s="23" t="s">
        <v>124</v>
      </c>
      <c r="AL49" s="23">
        <v>0.41310000000000002</v>
      </c>
      <c r="AM49" s="24">
        <f t="shared" si="1"/>
        <v>6036557.5944000008</v>
      </c>
      <c r="AN49" s="23"/>
      <c r="AO49" s="25">
        <v>1461282400</v>
      </c>
      <c r="AP49" s="23"/>
      <c r="AQ49" s="13" t="s">
        <v>350</v>
      </c>
      <c r="AR49" s="23"/>
      <c r="AS49" s="23"/>
      <c r="AT49" s="28">
        <v>8444750.989599999</v>
      </c>
      <c r="AU49" s="28">
        <v>6036557.5944000008</v>
      </c>
    </row>
    <row r="50" spans="1:47" ht="16" x14ac:dyDescent="0.2">
      <c r="A50" s="2" t="s">
        <v>31</v>
      </c>
      <c r="B50" s="1" t="s">
        <v>457</v>
      </c>
      <c r="C50" s="15" t="s">
        <v>350</v>
      </c>
      <c r="D50" s="1" t="s">
        <v>28</v>
      </c>
      <c r="E50" s="14">
        <v>43370</v>
      </c>
      <c r="F50" s="2" t="s">
        <v>29</v>
      </c>
      <c r="G50" s="2" t="s">
        <v>458</v>
      </c>
      <c r="H50" s="2" t="s">
        <v>457</v>
      </c>
      <c r="I50" s="3" t="s">
        <v>459</v>
      </c>
      <c r="J50" s="2" t="s">
        <v>353</v>
      </c>
      <c r="K50" s="3">
        <v>11.92</v>
      </c>
      <c r="L50" s="3">
        <v>238.4</v>
      </c>
      <c r="M50" s="2" t="s">
        <v>460</v>
      </c>
      <c r="N50" s="2" t="s">
        <v>35</v>
      </c>
      <c r="O50" s="2">
        <v>4.88</v>
      </c>
      <c r="P50" s="12">
        <f t="shared" si="0"/>
        <v>170.79999999999998</v>
      </c>
      <c r="Q50" s="2" t="s">
        <v>461</v>
      </c>
      <c r="R50" s="2" t="s">
        <v>37</v>
      </c>
      <c r="S50" s="9" t="s">
        <v>462</v>
      </c>
      <c r="T50" s="9" t="s">
        <v>39</v>
      </c>
      <c r="U50" s="9" t="s">
        <v>40</v>
      </c>
      <c r="V50" s="9">
        <v>7</v>
      </c>
      <c r="Y50" s="2" t="s">
        <v>463</v>
      </c>
      <c r="Z50" s="9" t="s">
        <v>42</v>
      </c>
      <c r="AA50" s="7" t="s">
        <v>464</v>
      </c>
      <c r="AB50" s="7" t="s">
        <v>465</v>
      </c>
      <c r="AC50" s="7" t="s">
        <v>466</v>
      </c>
      <c r="AD50" s="7" t="s">
        <v>46</v>
      </c>
      <c r="AE50" s="7" t="s">
        <v>47</v>
      </c>
      <c r="AG50" s="23">
        <v>276</v>
      </c>
      <c r="AH50" s="23" t="s">
        <v>463</v>
      </c>
      <c r="AI50" s="23" t="s">
        <v>1642</v>
      </c>
      <c r="AJ50" s="23" t="s">
        <v>466</v>
      </c>
      <c r="AK50" s="23" t="s">
        <v>47</v>
      </c>
      <c r="AL50" s="23">
        <v>0.245</v>
      </c>
      <c r="AM50" s="24">
        <f t="shared" si="1"/>
        <v>3580141.88</v>
      </c>
      <c r="AN50" s="23"/>
      <c r="AO50" s="25">
        <v>1461282400</v>
      </c>
      <c r="AP50" s="23"/>
      <c r="AQ50" s="15" t="s">
        <v>350</v>
      </c>
      <c r="AR50" s="23"/>
      <c r="AS50" s="23"/>
      <c r="AT50" s="28">
        <v>8317619.4208000004</v>
      </c>
      <c r="AU50" s="28">
        <v>7342944.0599999987</v>
      </c>
    </row>
    <row r="51" spans="1:47" ht="16" x14ac:dyDescent="0.2">
      <c r="A51" s="2" t="s">
        <v>31</v>
      </c>
      <c r="B51" s="1" t="s">
        <v>467</v>
      </c>
      <c r="C51" s="13" t="s">
        <v>350</v>
      </c>
      <c r="D51" s="1" t="s">
        <v>28</v>
      </c>
      <c r="E51" s="14">
        <v>43370</v>
      </c>
      <c r="F51" s="2" t="s">
        <v>29</v>
      </c>
      <c r="G51" s="2" t="s">
        <v>468</v>
      </c>
      <c r="H51" s="2" t="s">
        <v>467</v>
      </c>
      <c r="I51" s="2" t="s">
        <v>469</v>
      </c>
      <c r="J51" s="2" t="s">
        <v>353</v>
      </c>
      <c r="K51" s="2">
        <v>415.92</v>
      </c>
      <c r="L51" s="2">
        <v>8318.4</v>
      </c>
      <c r="M51" s="2" t="s">
        <v>470</v>
      </c>
      <c r="N51" s="2" t="s">
        <v>35</v>
      </c>
      <c r="O51" s="2">
        <v>29.28</v>
      </c>
      <c r="P51" s="12">
        <f t="shared" si="0"/>
        <v>1024.8</v>
      </c>
      <c r="Q51" s="2" t="s">
        <v>471</v>
      </c>
      <c r="R51" s="2" t="s">
        <v>37</v>
      </c>
      <c r="S51" s="9" t="s">
        <v>472</v>
      </c>
      <c r="T51" s="9" t="s">
        <v>39</v>
      </c>
      <c r="U51" s="9" t="s">
        <v>54</v>
      </c>
      <c r="V51" s="9">
        <v>7</v>
      </c>
      <c r="Y51" s="2" t="s">
        <v>473</v>
      </c>
      <c r="Z51" s="9" t="s">
        <v>42</v>
      </c>
      <c r="AA51" s="7" t="s">
        <v>474</v>
      </c>
      <c r="AB51" s="7" t="s">
        <v>465</v>
      </c>
      <c r="AC51" s="7" t="s">
        <v>466</v>
      </c>
      <c r="AD51" s="7" t="s">
        <v>57</v>
      </c>
      <c r="AE51" s="7" t="s">
        <v>58</v>
      </c>
      <c r="AG51" s="23">
        <v>277</v>
      </c>
      <c r="AH51" s="23" t="s">
        <v>473</v>
      </c>
      <c r="AI51" s="23" t="s">
        <v>1642</v>
      </c>
      <c r="AJ51" s="23" t="s">
        <v>466</v>
      </c>
      <c r="AK51" s="23" t="s">
        <v>58</v>
      </c>
      <c r="AL51" s="23">
        <v>0.46579999999999999</v>
      </c>
      <c r="AM51" s="24">
        <f t="shared" si="1"/>
        <v>6806653.4191999994</v>
      </c>
      <c r="AN51" s="23"/>
      <c r="AO51" s="25">
        <v>1461282400</v>
      </c>
      <c r="AP51" s="23"/>
      <c r="AQ51" s="13" t="s">
        <v>350</v>
      </c>
      <c r="AR51" s="23"/>
      <c r="AS51" s="23"/>
      <c r="AT51" s="28">
        <v>6245520.9775999999</v>
      </c>
      <c r="AU51" s="28">
        <v>6434026.4072000002</v>
      </c>
    </row>
    <row r="52" spans="1:47" ht="16" x14ac:dyDescent="0.2">
      <c r="A52" s="2" t="s">
        <v>31</v>
      </c>
      <c r="B52" s="1" t="s">
        <v>475</v>
      </c>
      <c r="C52" s="13" t="s">
        <v>350</v>
      </c>
      <c r="D52" s="1" t="s">
        <v>28</v>
      </c>
      <c r="E52" s="14">
        <v>43370</v>
      </c>
      <c r="F52" s="2" t="s">
        <v>29</v>
      </c>
      <c r="G52" s="2" t="s">
        <v>476</v>
      </c>
      <c r="H52" s="2" t="s">
        <v>475</v>
      </c>
      <c r="I52" s="2" t="s">
        <v>477</v>
      </c>
      <c r="J52" s="2" t="s">
        <v>353</v>
      </c>
      <c r="K52" s="2">
        <v>379.52</v>
      </c>
      <c r="L52" s="2">
        <v>7590.4</v>
      </c>
      <c r="M52" s="2" t="s">
        <v>478</v>
      </c>
      <c r="N52" s="2" t="s">
        <v>35</v>
      </c>
      <c r="O52" s="2">
        <v>30.48</v>
      </c>
      <c r="P52" s="12">
        <f t="shared" si="0"/>
        <v>1066.8</v>
      </c>
      <c r="Q52" s="2" t="s">
        <v>479</v>
      </c>
      <c r="R52" s="2" t="s">
        <v>37</v>
      </c>
      <c r="S52" s="9" t="s">
        <v>480</v>
      </c>
      <c r="T52" s="9" t="s">
        <v>39</v>
      </c>
      <c r="U52" s="9" t="s">
        <v>65</v>
      </c>
      <c r="V52" s="9">
        <v>7</v>
      </c>
      <c r="Y52" s="2" t="s">
        <v>481</v>
      </c>
      <c r="Z52" s="9" t="s">
        <v>42</v>
      </c>
      <c r="AA52" s="7" t="s">
        <v>482</v>
      </c>
      <c r="AB52" s="7" t="s">
        <v>465</v>
      </c>
      <c r="AC52" s="7" t="s">
        <v>466</v>
      </c>
      <c r="AD52" s="7" t="s">
        <v>68</v>
      </c>
      <c r="AE52" s="7" t="s">
        <v>69</v>
      </c>
      <c r="AG52" s="23">
        <v>278</v>
      </c>
      <c r="AH52" s="23" t="s">
        <v>481</v>
      </c>
      <c r="AI52" s="23" t="s">
        <v>1642</v>
      </c>
      <c r="AJ52" s="23" t="s">
        <v>466</v>
      </c>
      <c r="AK52" s="23" t="s">
        <v>69</v>
      </c>
      <c r="AL52" s="23">
        <v>0.38900000000000001</v>
      </c>
      <c r="AM52" s="24">
        <f t="shared" si="1"/>
        <v>5684388.5360000003</v>
      </c>
      <c r="AN52" s="23"/>
      <c r="AO52" s="25">
        <v>1461282400</v>
      </c>
      <c r="AP52" s="23"/>
      <c r="AQ52" s="13" t="s">
        <v>350</v>
      </c>
      <c r="AR52" s="23"/>
      <c r="AS52" s="23"/>
      <c r="AT52" s="28">
        <v>9014651.1256000008</v>
      </c>
      <c r="AU52" s="28">
        <v>7559213.8552000001</v>
      </c>
    </row>
    <row r="53" spans="1:47" ht="16" x14ac:dyDescent="0.2">
      <c r="A53" s="2" t="s">
        <v>31</v>
      </c>
      <c r="B53" s="1" t="s">
        <v>483</v>
      </c>
      <c r="C53" s="13" t="s">
        <v>350</v>
      </c>
      <c r="D53" s="1" t="s">
        <v>28</v>
      </c>
      <c r="E53" s="14">
        <v>43370</v>
      </c>
      <c r="F53" s="2" t="s">
        <v>29</v>
      </c>
      <c r="G53" s="2" t="s">
        <v>484</v>
      </c>
      <c r="H53" s="2" t="s">
        <v>483</v>
      </c>
      <c r="I53" s="2" t="s">
        <v>485</v>
      </c>
      <c r="J53" s="2" t="s">
        <v>353</v>
      </c>
      <c r="K53" s="2">
        <v>517.67999999999995</v>
      </c>
      <c r="L53" s="2">
        <v>10353.599999999999</v>
      </c>
      <c r="M53" s="2" t="s">
        <v>486</v>
      </c>
      <c r="N53" s="2" t="s">
        <v>35</v>
      </c>
      <c r="O53" s="2">
        <v>31.92</v>
      </c>
      <c r="P53" s="12">
        <f t="shared" si="0"/>
        <v>1117.2</v>
      </c>
      <c r="Q53" s="2" t="s">
        <v>487</v>
      </c>
      <c r="R53" s="2" t="s">
        <v>37</v>
      </c>
      <c r="S53" s="9" t="s">
        <v>488</v>
      </c>
      <c r="T53" s="9" t="s">
        <v>39</v>
      </c>
      <c r="U53" s="9" t="s">
        <v>76</v>
      </c>
      <c r="V53" s="9">
        <v>7</v>
      </c>
      <c r="Y53" s="2" t="s">
        <v>489</v>
      </c>
      <c r="Z53" s="9" t="s">
        <v>42</v>
      </c>
      <c r="AA53" s="7" t="s">
        <v>490</v>
      </c>
      <c r="AB53" s="7" t="s">
        <v>465</v>
      </c>
      <c r="AC53" s="7" t="s">
        <v>466</v>
      </c>
      <c r="AD53" s="7" t="s">
        <v>79</v>
      </c>
      <c r="AE53" s="7" t="s">
        <v>80</v>
      </c>
      <c r="AG53" s="23">
        <v>279</v>
      </c>
      <c r="AH53" s="23" t="s">
        <v>489</v>
      </c>
      <c r="AI53" s="23" t="s">
        <v>1642</v>
      </c>
      <c r="AJ53" s="23" t="s">
        <v>466</v>
      </c>
      <c r="AK53" s="23" t="s">
        <v>80</v>
      </c>
      <c r="AL53" s="23">
        <v>0.43569999999999998</v>
      </c>
      <c r="AM53" s="24">
        <f t="shared" si="1"/>
        <v>6366807.4167999998</v>
      </c>
      <c r="AN53" s="23"/>
      <c r="AO53" s="25">
        <v>1461282400</v>
      </c>
      <c r="AP53" s="23"/>
      <c r="AQ53" s="13" t="s">
        <v>350</v>
      </c>
      <c r="AR53" s="23"/>
      <c r="AS53" s="23"/>
      <c r="AT53" s="28">
        <v>6644451.0727999993</v>
      </c>
      <c r="AU53" s="28">
        <v>8066278.8480000012</v>
      </c>
    </row>
    <row r="54" spans="1:47" ht="16" x14ac:dyDescent="0.2">
      <c r="A54" s="2" t="s">
        <v>31</v>
      </c>
      <c r="B54" s="1" t="s">
        <v>491</v>
      </c>
      <c r="C54" s="13" t="s">
        <v>350</v>
      </c>
      <c r="D54" s="1" t="s">
        <v>28</v>
      </c>
      <c r="E54" s="14">
        <v>43370</v>
      </c>
      <c r="F54" s="2" t="s">
        <v>29</v>
      </c>
      <c r="G54" s="2" t="s">
        <v>492</v>
      </c>
      <c r="H54" s="2" t="s">
        <v>491</v>
      </c>
      <c r="I54" s="2" t="s">
        <v>493</v>
      </c>
      <c r="J54" s="2" t="s">
        <v>353</v>
      </c>
      <c r="K54" s="2">
        <v>158.88</v>
      </c>
      <c r="L54" s="2">
        <v>3177.6</v>
      </c>
      <c r="M54" s="2" t="s">
        <v>494</v>
      </c>
      <c r="N54" s="2" t="s">
        <v>35</v>
      </c>
      <c r="O54" s="2">
        <v>29.12</v>
      </c>
      <c r="P54" s="12">
        <f t="shared" si="0"/>
        <v>1019.2</v>
      </c>
      <c r="Q54" s="2" t="s">
        <v>495</v>
      </c>
      <c r="R54" s="2" t="s">
        <v>37</v>
      </c>
      <c r="S54" s="9" t="s">
        <v>496</v>
      </c>
      <c r="T54" s="9" t="s">
        <v>39</v>
      </c>
      <c r="U54" s="9" t="s">
        <v>87</v>
      </c>
      <c r="V54" s="9">
        <v>7</v>
      </c>
      <c r="Y54" s="2" t="s">
        <v>497</v>
      </c>
      <c r="Z54" s="9" t="s">
        <v>42</v>
      </c>
      <c r="AA54" s="7" t="s">
        <v>498</v>
      </c>
      <c r="AB54" s="7" t="s">
        <v>465</v>
      </c>
      <c r="AC54" s="7" t="s">
        <v>466</v>
      </c>
      <c r="AD54" s="7" t="s">
        <v>90</v>
      </c>
      <c r="AE54" s="7" t="s">
        <v>91</v>
      </c>
      <c r="AG54" s="23">
        <v>280</v>
      </c>
      <c r="AH54" s="23" t="s">
        <v>497</v>
      </c>
      <c r="AI54" s="23" t="s">
        <v>1642</v>
      </c>
      <c r="AJ54" s="23" t="s">
        <v>466</v>
      </c>
      <c r="AK54" s="23" t="s">
        <v>91</v>
      </c>
      <c r="AL54" s="23">
        <v>0.38619999999999999</v>
      </c>
      <c r="AM54" s="24">
        <f t="shared" si="1"/>
        <v>5643472.6288000001</v>
      </c>
      <c r="AN54" s="23"/>
      <c r="AO54" s="25">
        <v>1461282400</v>
      </c>
      <c r="AP54" s="23"/>
      <c r="AQ54" s="13" t="s">
        <v>350</v>
      </c>
      <c r="AR54" s="23"/>
      <c r="AS54" s="23"/>
      <c r="AT54" s="28">
        <v>7567981.5496000005</v>
      </c>
      <c r="AU54" s="28">
        <v>6306894.8384000007</v>
      </c>
    </row>
    <row r="55" spans="1:47" ht="16" x14ac:dyDescent="0.2">
      <c r="A55" s="2" t="s">
        <v>31</v>
      </c>
      <c r="B55" s="1" t="s">
        <v>499</v>
      </c>
      <c r="C55" s="13" t="s">
        <v>350</v>
      </c>
      <c r="D55" s="1" t="s">
        <v>28</v>
      </c>
      <c r="E55" s="14">
        <v>43370</v>
      </c>
      <c r="F55" s="2" t="s">
        <v>29</v>
      </c>
      <c r="G55" s="2" t="s">
        <v>500</v>
      </c>
      <c r="H55" s="2" t="s">
        <v>499</v>
      </c>
      <c r="I55" s="2" t="s">
        <v>501</v>
      </c>
      <c r="J55" s="2" t="s">
        <v>353</v>
      </c>
      <c r="K55" s="2">
        <v>390.88</v>
      </c>
      <c r="L55" s="2">
        <v>7817.6</v>
      </c>
      <c r="M55" s="2" t="s">
        <v>502</v>
      </c>
      <c r="N55" s="2" t="s">
        <v>35</v>
      </c>
      <c r="O55" s="2">
        <v>31.12</v>
      </c>
      <c r="P55" s="12">
        <f t="shared" si="0"/>
        <v>1089.2</v>
      </c>
      <c r="Q55" s="2" t="s">
        <v>503</v>
      </c>
      <c r="R55" s="2" t="s">
        <v>37</v>
      </c>
      <c r="S55" s="9" t="s">
        <v>504</v>
      </c>
      <c r="T55" s="9" t="s">
        <v>39</v>
      </c>
      <c r="U55" s="9" t="s">
        <v>98</v>
      </c>
      <c r="V55" s="9">
        <v>7</v>
      </c>
      <c r="Y55" s="2" t="s">
        <v>505</v>
      </c>
      <c r="Z55" s="9" t="s">
        <v>42</v>
      </c>
      <c r="AA55" s="7" t="s">
        <v>506</v>
      </c>
      <c r="AB55" s="7" t="s">
        <v>465</v>
      </c>
      <c r="AC55" s="7" t="s">
        <v>466</v>
      </c>
      <c r="AD55" s="7" t="s">
        <v>101</v>
      </c>
      <c r="AE55" s="7" t="s">
        <v>102</v>
      </c>
      <c r="AG55" s="23">
        <v>281</v>
      </c>
      <c r="AH55" s="23" t="s">
        <v>505</v>
      </c>
      <c r="AI55" s="23" t="s">
        <v>1642</v>
      </c>
      <c r="AJ55" s="23" t="s">
        <v>466</v>
      </c>
      <c r="AK55" s="23" t="s">
        <v>102</v>
      </c>
      <c r="AL55" s="23">
        <v>0.43580000000000002</v>
      </c>
      <c r="AM55" s="24">
        <f t="shared" si="1"/>
        <v>6368268.6992000006</v>
      </c>
      <c r="AN55" s="23"/>
      <c r="AO55" s="25">
        <v>1461282400</v>
      </c>
      <c r="AP55" s="23"/>
      <c r="AQ55" s="13" t="s">
        <v>350</v>
      </c>
      <c r="AR55" s="23"/>
      <c r="AS55" s="23"/>
      <c r="AT55" s="28">
        <v>6607919.0127999997</v>
      </c>
      <c r="AU55" s="28">
        <v>5118872.2472000001</v>
      </c>
    </row>
    <row r="56" spans="1:47" ht="16" x14ac:dyDescent="0.2">
      <c r="A56" s="2" t="s">
        <v>31</v>
      </c>
      <c r="B56" s="1" t="s">
        <v>507</v>
      </c>
      <c r="C56" s="13" t="s">
        <v>350</v>
      </c>
      <c r="D56" s="1" t="s">
        <v>28</v>
      </c>
      <c r="E56" s="14">
        <v>43370</v>
      </c>
      <c r="F56" s="2" t="s">
        <v>29</v>
      </c>
      <c r="G56" s="2" t="s">
        <v>508</v>
      </c>
      <c r="H56" s="2" t="s">
        <v>507</v>
      </c>
      <c r="I56" s="2" t="s">
        <v>509</v>
      </c>
      <c r="J56" s="2" t="s">
        <v>353</v>
      </c>
      <c r="K56" s="2">
        <v>618</v>
      </c>
      <c r="L56" s="2">
        <v>12360</v>
      </c>
      <c r="M56" s="2" t="s">
        <v>510</v>
      </c>
      <c r="N56" s="2" t="s">
        <v>35</v>
      </c>
      <c r="O56" s="2">
        <v>27.68</v>
      </c>
      <c r="P56" s="12">
        <f t="shared" si="0"/>
        <v>968.8</v>
      </c>
      <c r="Q56" s="2" t="s">
        <v>511</v>
      </c>
      <c r="R56" s="2" t="s">
        <v>37</v>
      </c>
      <c r="S56" s="9" t="s">
        <v>512</v>
      </c>
      <c r="T56" s="9" t="s">
        <v>39</v>
      </c>
      <c r="U56" s="9" t="s">
        <v>109</v>
      </c>
      <c r="V56" s="9">
        <v>7</v>
      </c>
      <c r="Y56" s="2" t="s">
        <v>513</v>
      </c>
      <c r="Z56" s="9" t="s">
        <v>42</v>
      </c>
      <c r="AA56" s="7" t="s">
        <v>514</v>
      </c>
      <c r="AB56" s="7" t="s">
        <v>465</v>
      </c>
      <c r="AC56" s="7" t="s">
        <v>466</v>
      </c>
      <c r="AD56" s="7" t="s">
        <v>112</v>
      </c>
      <c r="AE56" s="7" t="s">
        <v>113</v>
      </c>
      <c r="AG56" s="23">
        <v>282</v>
      </c>
      <c r="AH56" s="23" t="s">
        <v>513</v>
      </c>
      <c r="AI56" s="23" t="s">
        <v>1642</v>
      </c>
      <c r="AJ56" s="23" t="s">
        <v>466</v>
      </c>
      <c r="AK56" s="23" t="s">
        <v>113</v>
      </c>
      <c r="AL56" s="23">
        <v>0.3453</v>
      </c>
      <c r="AM56" s="24">
        <f t="shared" si="1"/>
        <v>5045808.1272</v>
      </c>
      <c r="AN56" s="23"/>
      <c r="AO56" s="25">
        <v>1461282400</v>
      </c>
      <c r="AP56" s="23"/>
      <c r="AQ56" s="13" t="s">
        <v>350</v>
      </c>
      <c r="AR56" s="23"/>
      <c r="AS56" s="23"/>
      <c r="AT56" s="28">
        <v>6375575.1112000002</v>
      </c>
      <c r="AU56" s="28">
        <v>7192431.9728000006</v>
      </c>
    </row>
    <row r="57" spans="1:47" ht="16" x14ac:dyDescent="0.2">
      <c r="A57" s="2" t="s">
        <v>31</v>
      </c>
      <c r="B57" s="1" t="s">
        <v>515</v>
      </c>
      <c r="C57" s="13" t="s">
        <v>350</v>
      </c>
      <c r="D57" s="1" t="s">
        <v>28</v>
      </c>
      <c r="E57" s="14">
        <v>43370</v>
      </c>
      <c r="F57" s="2" t="s">
        <v>29</v>
      </c>
      <c r="G57" s="2" t="s">
        <v>516</v>
      </c>
      <c r="H57" s="2" t="s">
        <v>515</v>
      </c>
      <c r="I57" s="2" t="s">
        <v>517</v>
      </c>
      <c r="J57" s="2" t="s">
        <v>353</v>
      </c>
      <c r="K57" s="2">
        <v>394.32</v>
      </c>
      <c r="L57" s="2">
        <v>7886.4</v>
      </c>
      <c r="M57" s="2" t="s">
        <v>518</v>
      </c>
      <c r="N57" s="2" t="s">
        <v>35</v>
      </c>
      <c r="O57" s="2">
        <v>27.92</v>
      </c>
      <c r="P57" s="12">
        <f t="shared" si="0"/>
        <v>977.2</v>
      </c>
      <c r="Q57" s="2" t="s">
        <v>519</v>
      </c>
      <c r="R57" s="2" t="s">
        <v>37</v>
      </c>
      <c r="S57" s="9" t="s">
        <v>520</v>
      </c>
      <c r="T57" s="9" t="s">
        <v>39</v>
      </c>
      <c r="U57" s="9" t="s">
        <v>120</v>
      </c>
      <c r="V57" s="9">
        <v>7</v>
      </c>
      <c r="Y57" s="2" t="s">
        <v>521</v>
      </c>
      <c r="Z57" s="9" t="s">
        <v>42</v>
      </c>
      <c r="AA57" s="7" t="s">
        <v>522</v>
      </c>
      <c r="AB57" s="7" t="s">
        <v>465</v>
      </c>
      <c r="AC57" s="7" t="s">
        <v>466</v>
      </c>
      <c r="AD57" s="7" t="s">
        <v>123</v>
      </c>
      <c r="AE57" s="7" t="s">
        <v>124</v>
      </c>
      <c r="AG57" s="23">
        <v>283</v>
      </c>
      <c r="AH57" s="23" t="s">
        <v>521</v>
      </c>
      <c r="AI57" s="23" t="s">
        <v>1642</v>
      </c>
      <c r="AJ57" s="23" t="s">
        <v>466</v>
      </c>
      <c r="AK57" s="23" t="s">
        <v>124</v>
      </c>
      <c r="AL57" s="23">
        <v>0.39729999999999999</v>
      </c>
      <c r="AM57" s="24">
        <f t="shared" si="1"/>
        <v>5805674.9752000002</v>
      </c>
      <c r="AN57" s="23"/>
      <c r="AO57" s="25">
        <v>1461282400</v>
      </c>
      <c r="AP57" s="23"/>
      <c r="AQ57" s="13" t="s">
        <v>350</v>
      </c>
      <c r="AR57" s="23"/>
      <c r="AS57" s="23"/>
      <c r="AT57" s="28">
        <v>6887023.9512</v>
      </c>
      <c r="AU57" s="28">
        <v>7610358.7392000007</v>
      </c>
    </row>
    <row r="58" spans="1:47" ht="16" x14ac:dyDescent="0.2">
      <c r="A58" s="2" t="s">
        <v>31</v>
      </c>
      <c r="B58" s="1" t="s">
        <v>523</v>
      </c>
      <c r="C58" s="13" t="s">
        <v>350</v>
      </c>
      <c r="D58" s="1" t="s">
        <v>28</v>
      </c>
      <c r="E58" s="14">
        <v>43370</v>
      </c>
      <c r="F58" s="2" t="s">
        <v>29</v>
      </c>
      <c r="G58" s="2" t="s">
        <v>524</v>
      </c>
      <c r="H58" s="2" t="s">
        <v>523</v>
      </c>
      <c r="I58" s="2" t="s">
        <v>525</v>
      </c>
      <c r="J58" s="2" t="s">
        <v>353</v>
      </c>
      <c r="K58" s="2">
        <v>281.2</v>
      </c>
      <c r="L58" s="2">
        <v>5624</v>
      </c>
      <c r="M58" s="2" t="s">
        <v>526</v>
      </c>
      <c r="N58" s="2" t="s">
        <v>35</v>
      </c>
      <c r="O58" s="2">
        <v>28.56</v>
      </c>
      <c r="P58" s="12">
        <f t="shared" si="0"/>
        <v>999.59999999999991</v>
      </c>
      <c r="Q58" s="2" t="s">
        <v>527</v>
      </c>
      <c r="R58" s="2" t="s">
        <v>37</v>
      </c>
      <c r="S58" s="9" t="s">
        <v>528</v>
      </c>
      <c r="T58" s="9" t="s">
        <v>39</v>
      </c>
      <c r="U58" s="9" t="s">
        <v>40</v>
      </c>
      <c r="V58" s="9">
        <v>8</v>
      </c>
      <c r="Y58" s="2" t="s">
        <v>529</v>
      </c>
      <c r="Z58" s="9" t="s">
        <v>42</v>
      </c>
      <c r="AA58" s="7" t="s">
        <v>530</v>
      </c>
      <c r="AB58" s="7" t="s">
        <v>531</v>
      </c>
      <c r="AC58" s="7" t="s">
        <v>532</v>
      </c>
      <c r="AD58" s="7" t="s">
        <v>46</v>
      </c>
      <c r="AE58" s="7" t="s">
        <v>47</v>
      </c>
      <c r="AG58" s="23">
        <v>284</v>
      </c>
      <c r="AH58" s="23" t="s">
        <v>529</v>
      </c>
      <c r="AI58" s="23" t="s">
        <v>1642</v>
      </c>
      <c r="AJ58" s="23" t="s">
        <v>532</v>
      </c>
      <c r="AK58" s="23" t="s">
        <v>47</v>
      </c>
      <c r="AL58" s="23">
        <v>0.38479999999999998</v>
      </c>
      <c r="AM58" s="24">
        <f t="shared" si="1"/>
        <v>5623014.6751999995</v>
      </c>
      <c r="AN58" s="23"/>
      <c r="AO58" s="25">
        <v>1461282400</v>
      </c>
      <c r="AP58" s="23"/>
      <c r="AQ58" s="13" t="s">
        <v>350</v>
      </c>
      <c r="AR58" s="23"/>
      <c r="AS58" s="23"/>
      <c r="AT58" s="28">
        <v>7379476.1200000001</v>
      </c>
      <c r="AU58" s="28">
        <v>7228964.0328000002</v>
      </c>
    </row>
    <row r="59" spans="1:47" ht="16" x14ac:dyDescent="0.2">
      <c r="A59" s="2" t="s">
        <v>31</v>
      </c>
      <c r="B59" s="1" t="s">
        <v>533</v>
      </c>
      <c r="C59" s="13" t="s">
        <v>350</v>
      </c>
      <c r="D59" s="1" t="s">
        <v>28</v>
      </c>
      <c r="E59" s="14">
        <v>43370</v>
      </c>
      <c r="F59" s="2" t="s">
        <v>29</v>
      </c>
      <c r="G59" s="2" t="s">
        <v>534</v>
      </c>
      <c r="H59" s="2" t="s">
        <v>533</v>
      </c>
      <c r="I59" s="2" t="s">
        <v>535</v>
      </c>
      <c r="J59" s="2" t="s">
        <v>353</v>
      </c>
      <c r="K59" s="2">
        <v>235.52</v>
      </c>
      <c r="L59" s="2">
        <v>4710.4000000000005</v>
      </c>
      <c r="M59" s="2" t="s">
        <v>536</v>
      </c>
      <c r="N59" s="2" t="s">
        <v>35</v>
      </c>
      <c r="O59" s="2">
        <v>26.64</v>
      </c>
      <c r="P59" s="12">
        <f t="shared" si="0"/>
        <v>932.4</v>
      </c>
      <c r="Q59" s="2" t="s">
        <v>537</v>
      </c>
      <c r="R59" s="2" t="s">
        <v>37</v>
      </c>
      <c r="S59" s="9" t="s">
        <v>538</v>
      </c>
      <c r="T59" s="9" t="s">
        <v>39</v>
      </c>
      <c r="U59" s="9" t="s">
        <v>54</v>
      </c>
      <c r="V59" s="9">
        <v>8</v>
      </c>
      <c r="W59" s="2">
        <v>16.3</v>
      </c>
      <c r="X59" s="2">
        <v>0.3</v>
      </c>
      <c r="Y59" s="2" t="s">
        <v>539</v>
      </c>
      <c r="Z59" s="9" t="s">
        <v>42</v>
      </c>
      <c r="AA59" s="7" t="s">
        <v>540</v>
      </c>
      <c r="AB59" s="7" t="s">
        <v>531</v>
      </c>
      <c r="AC59" s="7" t="s">
        <v>532</v>
      </c>
      <c r="AD59" s="7" t="s">
        <v>57</v>
      </c>
      <c r="AE59" s="7" t="s">
        <v>58</v>
      </c>
      <c r="AG59" s="23">
        <v>285</v>
      </c>
      <c r="AH59" s="23" t="s">
        <v>539</v>
      </c>
      <c r="AI59" s="23" t="s">
        <v>1642</v>
      </c>
      <c r="AJ59" s="23" t="s">
        <v>532</v>
      </c>
      <c r="AK59" s="23" t="s">
        <v>58</v>
      </c>
      <c r="AL59" s="23">
        <v>0.4209</v>
      </c>
      <c r="AM59" s="24">
        <f t="shared" si="1"/>
        <v>6150537.6215999993</v>
      </c>
      <c r="AN59" s="23"/>
      <c r="AO59" s="25">
        <v>1461282400</v>
      </c>
      <c r="AP59" s="23"/>
      <c r="AQ59" s="13" t="s">
        <v>350</v>
      </c>
      <c r="AR59" s="23"/>
      <c r="AS59" s="23"/>
      <c r="AT59" s="28">
        <v>6498322.8328</v>
      </c>
      <c r="AU59" s="28">
        <v>5234313.5568000004</v>
      </c>
    </row>
    <row r="60" spans="1:47" ht="16" x14ac:dyDescent="0.2">
      <c r="A60" s="2" t="s">
        <v>31</v>
      </c>
      <c r="B60" s="1" t="s">
        <v>541</v>
      </c>
      <c r="C60" s="13" t="s">
        <v>350</v>
      </c>
      <c r="D60" s="1" t="s">
        <v>28</v>
      </c>
      <c r="E60" s="14">
        <v>43370</v>
      </c>
      <c r="F60" s="2" t="s">
        <v>29</v>
      </c>
      <c r="G60" s="2" t="s">
        <v>542</v>
      </c>
      <c r="H60" s="2" t="s">
        <v>541</v>
      </c>
      <c r="I60" s="2" t="s">
        <v>543</v>
      </c>
      <c r="J60" s="2" t="s">
        <v>353</v>
      </c>
      <c r="K60" s="2">
        <v>135.76</v>
      </c>
      <c r="L60" s="2">
        <v>2715.2</v>
      </c>
      <c r="M60" s="2" t="s">
        <v>544</v>
      </c>
      <c r="N60" s="2" t="s">
        <v>35</v>
      </c>
      <c r="O60" s="2">
        <v>18</v>
      </c>
      <c r="P60" s="12">
        <f t="shared" si="0"/>
        <v>630</v>
      </c>
      <c r="Q60" s="2" t="s">
        <v>545</v>
      </c>
      <c r="R60" s="2" t="s">
        <v>37</v>
      </c>
      <c r="S60" s="9" t="s">
        <v>546</v>
      </c>
      <c r="T60" s="9" t="s">
        <v>39</v>
      </c>
      <c r="U60" s="9" t="s">
        <v>65</v>
      </c>
      <c r="V60" s="9">
        <v>8</v>
      </c>
      <c r="Y60" s="2" t="s">
        <v>547</v>
      </c>
      <c r="Z60" s="9" t="s">
        <v>42</v>
      </c>
      <c r="AA60" s="7" t="s">
        <v>548</v>
      </c>
      <c r="AB60" s="7" t="s">
        <v>531</v>
      </c>
      <c r="AC60" s="7" t="s">
        <v>532</v>
      </c>
      <c r="AD60" s="7" t="s">
        <v>68</v>
      </c>
      <c r="AE60" s="7" t="s">
        <v>69</v>
      </c>
      <c r="AG60" s="23">
        <v>286</v>
      </c>
      <c r="AH60" s="23" t="s">
        <v>547</v>
      </c>
      <c r="AI60" s="23" t="s">
        <v>1642</v>
      </c>
      <c r="AJ60" s="23" t="s">
        <v>532</v>
      </c>
      <c r="AK60" s="23" t="s">
        <v>69</v>
      </c>
      <c r="AL60" s="23">
        <v>0.38429999999999997</v>
      </c>
      <c r="AM60" s="24">
        <f t="shared" si="1"/>
        <v>5615708.263199999</v>
      </c>
      <c r="AN60" s="23"/>
      <c r="AO60" s="25">
        <v>1461282400</v>
      </c>
      <c r="AP60" s="23"/>
      <c r="AQ60" s="13" t="s">
        <v>350</v>
      </c>
      <c r="AR60" s="23"/>
      <c r="AS60" s="23"/>
      <c r="AT60" s="28">
        <v>8547040.7576000001</v>
      </c>
      <c r="AU60" s="28">
        <v>5913809.8728</v>
      </c>
    </row>
    <row r="61" spans="1:47" ht="16" x14ac:dyDescent="0.2">
      <c r="A61" s="2" t="s">
        <v>31</v>
      </c>
      <c r="B61" s="1" t="s">
        <v>549</v>
      </c>
      <c r="C61" s="13" t="s">
        <v>350</v>
      </c>
      <c r="D61" s="1" t="s">
        <v>28</v>
      </c>
      <c r="E61" s="14">
        <v>43370</v>
      </c>
      <c r="F61" s="2" t="s">
        <v>29</v>
      </c>
      <c r="G61" s="2" t="s">
        <v>550</v>
      </c>
      <c r="H61" s="2" t="s">
        <v>549</v>
      </c>
      <c r="I61" s="2" t="s">
        <v>551</v>
      </c>
      <c r="J61" s="2" t="s">
        <v>353</v>
      </c>
      <c r="K61" s="2">
        <v>367.04</v>
      </c>
      <c r="L61" s="2">
        <v>7340.8</v>
      </c>
      <c r="M61" s="2" t="s">
        <v>552</v>
      </c>
      <c r="N61" s="2" t="s">
        <v>35</v>
      </c>
      <c r="O61" s="2">
        <v>21.92</v>
      </c>
      <c r="P61" s="12">
        <f t="shared" si="0"/>
        <v>767.2</v>
      </c>
      <c r="Q61" s="2" t="s">
        <v>553</v>
      </c>
      <c r="R61" s="2" t="s">
        <v>37</v>
      </c>
      <c r="S61" s="9" t="s">
        <v>554</v>
      </c>
      <c r="T61" s="9" t="s">
        <v>39</v>
      </c>
      <c r="U61" s="9" t="s">
        <v>76</v>
      </c>
      <c r="V61" s="9">
        <v>8</v>
      </c>
      <c r="Y61" s="2" t="s">
        <v>555</v>
      </c>
      <c r="Z61" s="9" t="s">
        <v>42</v>
      </c>
      <c r="AA61" s="7" t="s">
        <v>556</v>
      </c>
      <c r="AB61" s="7" t="s">
        <v>531</v>
      </c>
      <c r="AC61" s="7" t="s">
        <v>532</v>
      </c>
      <c r="AD61" s="7" t="s">
        <v>79</v>
      </c>
      <c r="AE61" s="7" t="s">
        <v>80</v>
      </c>
      <c r="AG61" s="23">
        <v>287</v>
      </c>
      <c r="AH61" s="23" t="s">
        <v>555</v>
      </c>
      <c r="AI61" s="23" t="s">
        <v>1642</v>
      </c>
      <c r="AJ61" s="23" t="s">
        <v>532</v>
      </c>
      <c r="AK61" s="23" t="s">
        <v>80</v>
      </c>
      <c r="AL61" s="23">
        <v>0.36580000000000001</v>
      </c>
      <c r="AM61" s="24">
        <f t="shared" si="1"/>
        <v>5345371.0192</v>
      </c>
      <c r="AN61" s="23"/>
      <c r="AO61" s="25">
        <v>1461282400</v>
      </c>
      <c r="AP61" s="23"/>
      <c r="AQ61" s="13" t="s">
        <v>350</v>
      </c>
      <c r="AR61" s="23"/>
      <c r="AS61" s="23"/>
      <c r="AT61" s="28">
        <v>7866083.1591999996</v>
      </c>
      <c r="AU61" s="28">
        <v>5849513.4472000003</v>
      </c>
    </row>
    <row r="62" spans="1:47" ht="16" x14ac:dyDescent="0.2">
      <c r="A62" s="2" t="s">
        <v>31</v>
      </c>
      <c r="B62" s="1" t="s">
        <v>557</v>
      </c>
      <c r="C62" s="13" t="s">
        <v>350</v>
      </c>
      <c r="D62" s="1" t="s">
        <v>28</v>
      </c>
      <c r="E62" s="14">
        <v>43370</v>
      </c>
      <c r="F62" s="2" t="s">
        <v>29</v>
      </c>
      <c r="G62" s="2" t="s">
        <v>558</v>
      </c>
      <c r="H62" s="2" t="s">
        <v>557</v>
      </c>
      <c r="I62" s="2" t="s">
        <v>559</v>
      </c>
      <c r="J62" s="2" t="s">
        <v>353</v>
      </c>
      <c r="K62" s="2">
        <v>350.24</v>
      </c>
      <c r="L62" s="2">
        <v>7004.8</v>
      </c>
      <c r="M62" s="2" t="s">
        <v>560</v>
      </c>
      <c r="N62" s="2" t="s">
        <v>35</v>
      </c>
      <c r="O62" s="2">
        <v>10.88</v>
      </c>
      <c r="P62" s="12">
        <f t="shared" si="0"/>
        <v>380.8</v>
      </c>
      <c r="Q62" s="2" t="s">
        <v>561</v>
      </c>
      <c r="R62" s="2" t="s">
        <v>37</v>
      </c>
      <c r="S62" s="9" t="s">
        <v>562</v>
      </c>
      <c r="T62" s="9" t="s">
        <v>39</v>
      </c>
      <c r="U62" s="9" t="s">
        <v>87</v>
      </c>
      <c r="V62" s="9">
        <v>8</v>
      </c>
      <c r="Y62" s="2" t="s">
        <v>563</v>
      </c>
      <c r="Z62" s="9" t="s">
        <v>42</v>
      </c>
      <c r="AA62" s="7" t="s">
        <v>564</v>
      </c>
      <c r="AB62" s="7" t="s">
        <v>531</v>
      </c>
      <c r="AC62" s="7" t="s">
        <v>532</v>
      </c>
      <c r="AD62" s="7" t="s">
        <v>90</v>
      </c>
      <c r="AE62" s="7" t="s">
        <v>91</v>
      </c>
      <c r="AG62" s="23">
        <v>288</v>
      </c>
      <c r="AH62" s="23" t="s">
        <v>563</v>
      </c>
      <c r="AI62" s="23" t="s">
        <v>1642</v>
      </c>
      <c r="AJ62" s="23" t="s">
        <v>532</v>
      </c>
      <c r="AK62" s="23" t="s">
        <v>91</v>
      </c>
      <c r="AL62" s="23">
        <v>0.49249999999999999</v>
      </c>
      <c r="AM62" s="24">
        <f t="shared" si="1"/>
        <v>7196815.8200000003</v>
      </c>
      <c r="AN62" s="23"/>
      <c r="AO62" s="25">
        <v>1461282400</v>
      </c>
      <c r="AP62" s="23"/>
      <c r="AQ62" s="13" t="s">
        <v>350</v>
      </c>
      <c r="AR62" s="23"/>
      <c r="AS62" s="23"/>
      <c r="AT62" s="28">
        <v>7236270.4448000006</v>
      </c>
      <c r="AU62" s="28">
        <v>4731632.411199999</v>
      </c>
    </row>
    <row r="63" spans="1:47" ht="16" x14ac:dyDescent="0.2">
      <c r="A63" s="2" t="s">
        <v>31</v>
      </c>
      <c r="B63" s="1" t="s">
        <v>565</v>
      </c>
      <c r="C63" s="13" t="s">
        <v>350</v>
      </c>
      <c r="D63" s="1" t="s">
        <v>28</v>
      </c>
      <c r="E63" s="14">
        <v>43370</v>
      </c>
      <c r="F63" s="2" t="s">
        <v>29</v>
      </c>
      <c r="G63" s="2" t="s">
        <v>566</v>
      </c>
      <c r="H63" s="2" t="s">
        <v>565</v>
      </c>
      <c r="I63" s="2" t="s">
        <v>567</v>
      </c>
      <c r="J63" s="2" t="s">
        <v>353</v>
      </c>
      <c r="K63" s="2">
        <v>752.48</v>
      </c>
      <c r="L63" s="2">
        <v>15049.6</v>
      </c>
      <c r="M63" s="2" t="s">
        <v>568</v>
      </c>
      <c r="N63" s="2" t="s">
        <v>35</v>
      </c>
      <c r="O63" s="2">
        <v>22.4</v>
      </c>
      <c r="P63" s="12">
        <f t="shared" si="0"/>
        <v>784</v>
      </c>
      <c r="Q63" s="2" t="s">
        <v>569</v>
      </c>
      <c r="R63" s="2" t="s">
        <v>37</v>
      </c>
      <c r="S63" s="9" t="s">
        <v>570</v>
      </c>
      <c r="T63" s="9" t="s">
        <v>39</v>
      </c>
      <c r="U63" s="9" t="s">
        <v>98</v>
      </c>
      <c r="V63" s="9">
        <v>8</v>
      </c>
      <c r="Y63" s="2" t="s">
        <v>571</v>
      </c>
      <c r="Z63" s="9" t="s">
        <v>42</v>
      </c>
      <c r="AA63" s="7" t="s">
        <v>572</v>
      </c>
      <c r="AB63" s="7" t="s">
        <v>531</v>
      </c>
      <c r="AC63" s="7" t="s">
        <v>532</v>
      </c>
      <c r="AD63" s="7" t="s">
        <v>101</v>
      </c>
      <c r="AE63" s="7" t="s">
        <v>102</v>
      </c>
      <c r="AG63" s="23">
        <v>289</v>
      </c>
      <c r="AH63" s="23" t="s">
        <v>571</v>
      </c>
      <c r="AI63" s="23" t="s">
        <v>1642</v>
      </c>
      <c r="AJ63" s="23" t="s">
        <v>532</v>
      </c>
      <c r="AK63" s="23" t="s">
        <v>102</v>
      </c>
      <c r="AL63" s="23">
        <v>0.44450000000000001</v>
      </c>
      <c r="AM63" s="24">
        <f t="shared" si="1"/>
        <v>6495400.2679999992</v>
      </c>
      <c r="AN63" s="23"/>
      <c r="AO63" s="25">
        <v>1461282400</v>
      </c>
      <c r="AP63" s="23"/>
      <c r="AQ63" s="13" t="s">
        <v>350</v>
      </c>
      <c r="AR63" s="23"/>
      <c r="AS63" s="23"/>
      <c r="AT63" s="28">
        <v>6401878.1943999995</v>
      </c>
      <c r="AU63" s="28">
        <v>4179267.6639999999</v>
      </c>
    </row>
    <row r="64" spans="1:47" ht="16" x14ac:dyDescent="0.2">
      <c r="A64" s="2" t="s">
        <v>31</v>
      </c>
      <c r="B64" s="1" t="s">
        <v>573</v>
      </c>
      <c r="C64" s="13" t="s">
        <v>350</v>
      </c>
      <c r="D64" s="1" t="s">
        <v>28</v>
      </c>
      <c r="E64" s="14">
        <v>43370</v>
      </c>
      <c r="F64" s="2" t="s">
        <v>29</v>
      </c>
      <c r="G64" s="2" t="s">
        <v>574</v>
      </c>
      <c r="H64" s="2" t="s">
        <v>573</v>
      </c>
      <c r="I64" s="2" t="s">
        <v>575</v>
      </c>
      <c r="J64" s="2" t="s">
        <v>353</v>
      </c>
      <c r="K64" s="2">
        <v>330.16</v>
      </c>
      <c r="L64" s="2">
        <v>6603.2000000000007</v>
      </c>
      <c r="M64" s="2" t="s">
        <v>576</v>
      </c>
      <c r="N64" s="2" t="s">
        <v>35</v>
      </c>
      <c r="O64" s="2">
        <v>28.96</v>
      </c>
      <c r="P64" s="12">
        <f t="shared" si="0"/>
        <v>1013.6</v>
      </c>
      <c r="Q64" s="2" t="s">
        <v>577</v>
      </c>
      <c r="R64" s="2" t="s">
        <v>37</v>
      </c>
      <c r="S64" s="9" t="s">
        <v>578</v>
      </c>
      <c r="T64" s="9" t="s">
        <v>39</v>
      </c>
      <c r="U64" s="9" t="s">
        <v>109</v>
      </c>
      <c r="V64" s="9">
        <v>8</v>
      </c>
      <c r="Y64" s="2" t="s">
        <v>579</v>
      </c>
      <c r="Z64" s="9" t="s">
        <v>42</v>
      </c>
      <c r="AA64" s="7" t="s">
        <v>580</v>
      </c>
      <c r="AB64" s="7" t="s">
        <v>531</v>
      </c>
      <c r="AC64" s="7" t="s">
        <v>532</v>
      </c>
      <c r="AD64" s="7" t="s">
        <v>112</v>
      </c>
      <c r="AE64" s="7" t="s">
        <v>113</v>
      </c>
      <c r="AG64" s="23">
        <v>290</v>
      </c>
      <c r="AH64" s="23" t="s">
        <v>579</v>
      </c>
      <c r="AI64" s="23" t="s">
        <v>1642</v>
      </c>
      <c r="AJ64" s="23" t="s">
        <v>532</v>
      </c>
      <c r="AK64" s="23" t="s">
        <v>113</v>
      </c>
      <c r="AL64" s="23">
        <v>0.28689999999999999</v>
      </c>
      <c r="AM64" s="24">
        <f t="shared" si="1"/>
        <v>4192419.2056</v>
      </c>
      <c r="AN64" s="23"/>
      <c r="AO64" s="25">
        <v>1461282400</v>
      </c>
      <c r="AP64" s="23"/>
      <c r="AQ64" s="13" t="s">
        <v>350</v>
      </c>
      <c r="AR64" s="23"/>
      <c r="AS64" s="23"/>
      <c r="AT64" s="28">
        <v>9666383.0759999994</v>
      </c>
      <c r="AU64" s="28">
        <v>7135441.9592000004</v>
      </c>
    </row>
    <row r="65" spans="1:182" ht="16" x14ac:dyDescent="0.2">
      <c r="A65" s="2" t="s">
        <v>31</v>
      </c>
      <c r="B65" s="1" t="s">
        <v>581</v>
      </c>
      <c r="C65" s="13" t="s">
        <v>350</v>
      </c>
      <c r="D65" s="1" t="s">
        <v>28</v>
      </c>
      <c r="E65" s="14">
        <v>43370</v>
      </c>
      <c r="F65" s="2" t="s">
        <v>29</v>
      </c>
      <c r="G65" s="2" t="s">
        <v>582</v>
      </c>
      <c r="H65" s="2" t="s">
        <v>581</v>
      </c>
      <c r="I65" s="2" t="s">
        <v>583</v>
      </c>
      <c r="J65" s="2" t="s">
        <v>353</v>
      </c>
      <c r="K65" s="2">
        <v>320.39999999999998</v>
      </c>
      <c r="L65" s="2">
        <v>6408</v>
      </c>
      <c r="M65" s="2" t="s">
        <v>584</v>
      </c>
      <c r="N65" s="2" t="s">
        <v>35</v>
      </c>
      <c r="O65" s="2">
        <v>29.44</v>
      </c>
      <c r="P65" s="12">
        <f t="shared" si="0"/>
        <v>1030.4000000000001</v>
      </c>
      <c r="Q65" s="2" t="s">
        <v>585</v>
      </c>
      <c r="R65" s="2" t="s">
        <v>37</v>
      </c>
      <c r="S65" s="9" t="s">
        <v>586</v>
      </c>
      <c r="T65" s="9" t="s">
        <v>39</v>
      </c>
      <c r="U65" s="9" t="s">
        <v>120</v>
      </c>
      <c r="V65" s="9">
        <v>8</v>
      </c>
      <c r="Y65" s="2" t="s">
        <v>587</v>
      </c>
      <c r="Z65" s="9" t="s">
        <v>42</v>
      </c>
      <c r="AA65" s="7" t="s">
        <v>588</v>
      </c>
      <c r="AB65" s="7" t="s">
        <v>531</v>
      </c>
      <c r="AC65" s="7" t="s">
        <v>532</v>
      </c>
      <c r="AD65" s="7" t="s">
        <v>123</v>
      </c>
      <c r="AE65" s="7" t="s">
        <v>124</v>
      </c>
      <c r="AG65" s="23">
        <v>291</v>
      </c>
      <c r="AH65" s="23" t="s">
        <v>587</v>
      </c>
      <c r="AI65" s="23" t="s">
        <v>1642</v>
      </c>
      <c r="AJ65" s="23" t="s">
        <v>532</v>
      </c>
      <c r="AK65" s="23" t="s">
        <v>124</v>
      </c>
      <c r="AL65" s="23">
        <v>0.31230000000000002</v>
      </c>
      <c r="AM65" s="24">
        <f t="shared" si="1"/>
        <v>4563584.9352000002</v>
      </c>
      <c r="AN65" s="23"/>
      <c r="AO65" s="25">
        <v>1461282400</v>
      </c>
      <c r="AP65" s="23"/>
      <c r="AQ65" s="13" t="s">
        <v>350</v>
      </c>
      <c r="AR65" s="23"/>
      <c r="AS65" s="23"/>
      <c r="AT65" s="28">
        <v>9135937.5647999998</v>
      </c>
      <c r="AU65" s="28">
        <v>7547523.595999999</v>
      </c>
    </row>
    <row r="66" spans="1:182" ht="16" x14ac:dyDescent="0.2">
      <c r="A66" s="2" t="s">
        <v>31</v>
      </c>
      <c r="B66" s="1" t="s">
        <v>589</v>
      </c>
      <c r="C66" s="13" t="s">
        <v>350</v>
      </c>
      <c r="D66" s="1" t="s">
        <v>28</v>
      </c>
      <c r="E66" s="14">
        <v>43370</v>
      </c>
      <c r="F66" s="2" t="s">
        <v>29</v>
      </c>
      <c r="G66" s="2" t="s">
        <v>590</v>
      </c>
      <c r="H66" s="2" t="s">
        <v>589</v>
      </c>
      <c r="I66" s="3" t="s">
        <v>591</v>
      </c>
      <c r="J66" s="2" t="s">
        <v>353</v>
      </c>
      <c r="K66" s="3">
        <v>30.32</v>
      </c>
      <c r="L66" s="3">
        <v>606.4</v>
      </c>
      <c r="M66" s="2" t="s">
        <v>592</v>
      </c>
      <c r="N66" s="2" t="s">
        <v>35</v>
      </c>
      <c r="O66" s="2">
        <v>10.24</v>
      </c>
      <c r="P66" s="12">
        <f t="shared" si="0"/>
        <v>358.40000000000003</v>
      </c>
      <c r="Q66" s="2" t="s">
        <v>593</v>
      </c>
      <c r="R66" s="2" t="s">
        <v>37</v>
      </c>
      <c r="S66" s="9" t="s">
        <v>594</v>
      </c>
      <c r="T66" s="9" t="s">
        <v>39</v>
      </c>
      <c r="U66" s="9" t="s">
        <v>40</v>
      </c>
      <c r="V66" s="9">
        <v>9</v>
      </c>
      <c r="Y66" s="2" t="s">
        <v>595</v>
      </c>
      <c r="Z66" s="9" t="s">
        <v>42</v>
      </c>
      <c r="AA66" s="7" t="s">
        <v>596</v>
      </c>
      <c r="AB66" s="7" t="s">
        <v>597</v>
      </c>
      <c r="AC66" s="7" t="s">
        <v>598</v>
      </c>
      <c r="AD66" s="7" t="s">
        <v>46</v>
      </c>
      <c r="AE66" s="7" t="s">
        <v>47</v>
      </c>
      <c r="AG66" s="23">
        <v>292</v>
      </c>
      <c r="AH66" s="23" t="s">
        <v>595</v>
      </c>
      <c r="AI66" s="23" t="s">
        <v>1642</v>
      </c>
      <c r="AJ66" s="23" t="s">
        <v>598</v>
      </c>
      <c r="AK66" s="23" t="s">
        <v>47</v>
      </c>
      <c r="AL66" s="23">
        <v>0.5383</v>
      </c>
      <c r="AM66" s="24">
        <f t="shared" si="1"/>
        <v>7866083.1591999996</v>
      </c>
      <c r="AN66" s="23"/>
      <c r="AO66" s="25">
        <v>1461282400</v>
      </c>
      <c r="AP66" s="23"/>
      <c r="AQ66" s="13" t="s">
        <v>350</v>
      </c>
      <c r="AR66" s="23"/>
      <c r="AS66" s="23"/>
      <c r="AT66" s="28">
        <v>9723373.0896000005</v>
      </c>
      <c r="AU66" s="28">
        <v>6160766.5983999996</v>
      </c>
    </row>
    <row r="67" spans="1:182" s="9" customFormat="1" x14ac:dyDescent="0.2">
      <c r="A67" s="2" t="s">
        <v>31</v>
      </c>
      <c r="B67" s="1" t="s">
        <v>599</v>
      </c>
      <c r="C67" s="1" t="s">
        <v>27</v>
      </c>
      <c r="D67" s="1" t="s">
        <v>28</v>
      </c>
      <c r="E67" s="8">
        <v>43370</v>
      </c>
      <c r="F67" s="9" t="s">
        <v>29</v>
      </c>
      <c r="G67" s="2" t="s">
        <v>600</v>
      </c>
      <c r="H67" s="2" t="s">
        <v>599</v>
      </c>
      <c r="I67" s="2" t="s">
        <v>601</v>
      </c>
      <c r="J67" s="2" t="s">
        <v>33</v>
      </c>
      <c r="K67" s="2">
        <v>168.56</v>
      </c>
      <c r="L67" s="16">
        <v>6742.4</v>
      </c>
      <c r="M67" s="2" t="s">
        <v>602</v>
      </c>
      <c r="N67" s="2" t="s">
        <v>35</v>
      </c>
      <c r="O67" s="2">
        <v>34</v>
      </c>
      <c r="P67" s="9">
        <f>O67*35</f>
        <v>1190</v>
      </c>
      <c r="Q67" s="2" t="s">
        <v>603</v>
      </c>
      <c r="R67" s="2" t="s">
        <v>37</v>
      </c>
      <c r="S67" s="9" t="s">
        <v>604</v>
      </c>
      <c r="T67" s="9" t="s">
        <v>605</v>
      </c>
      <c r="U67" s="9" t="s">
        <v>40</v>
      </c>
      <c r="V67" s="9">
        <v>1</v>
      </c>
      <c r="Y67" s="2" t="s">
        <v>606</v>
      </c>
      <c r="Z67" s="17" t="s">
        <v>607</v>
      </c>
      <c r="AA67" s="18" t="s">
        <v>43</v>
      </c>
      <c r="AB67" s="18" t="s">
        <v>608</v>
      </c>
      <c r="AC67" s="18" t="s">
        <v>609</v>
      </c>
      <c r="AD67" s="18" t="s">
        <v>610</v>
      </c>
      <c r="AE67" s="18" t="s">
        <v>611</v>
      </c>
      <c r="AG67" s="23">
        <v>293</v>
      </c>
      <c r="AH67" s="23" t="s">
        <v>606</v>
      </c>
      <c r="AI67" s="23" t="s">
        <v>1642</v>
      </c>
      <c r="AJ67" s="23" t="s">
        <v>609</v>
      </c>
      <c r="AK67" s="23" t="s">
        <v>611</v>
      </c>
      <c r="AL67" s="23">
        <v>0.4723</v>
      </c>
      <c r="AM67" s="24">
        <f t="shared" ref="AM67:AM130" si="2">AL67*AO67/100</f>
        <v>6901636.7752</v>
      </c>
      <c r="AN67" s="23"/>
      <c r="AO67" s="25">
        <v>1461282400</v>
      </c>
      <c r="AP67" s="23"/>
      <c r="AQ67" s="1" t="s">
        <v>27</v>
      </c>
      <c r="AR67" s="23"/>
      <c r="AS67" s="23"/>
      <c r="AT67" s="28">
        <v>1142722.8368000002</v>
      </c>
      <c r="AU67" s="28">
        <v>6491016.4207999995</v>
      </c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</row>
    <row r="68" spans="1:182" s="9" customFormat="1" x14ac:dyDescent="0.2">
      <c r="A68" s="2" t="s">
        <v>31</v>
      </c>
      <c r="B68" s="1" t="s">
        <v>612</v>
      </c>
      <c r="C68" s="1" t="s">
        <v>27</v>
      </c>
      <c r="D68" s="1" t="s">
        <v>28</v>
      </c>
      <c r="E68" s="8">
        <v>43370</v>
      </c>
      <c r="F68" s="9" t="s">
        <v>29</v>
      </c>
      <c r="G68" s="2" t="s">
        <v>613</v>
      </c>
      <c r="H68" s="2" t="s">
        <v>612</v>
      </c>
      <c r="I68" s="2" t="s">
        <v>614</v>
      </c>
      <c r="J68" s="2" t="s">
        <v>33</v>
      </c>
      <c r="K68" s="2">
        <v>254.08</v>
      </c>
      <c r="L68" s="16">
        <v>10163.200000000001</v>
      </c>
      <c r="M68" s="2" t="s">
        <v>615</v>
      </c>
      <c r="N68" s="2" t="s">
        <v>35</v>
      </c>
      <c r="O68" s="2">
        <v>37.28</v>
      </c>
      <c r="P68" s="9">
        <f t="shared" ref="P68:P131" si="3">O68*35</f>
        <v>1304.8</v>
      </c>
      <c r="Q68" s="2" t="s">
        <v>616</v>
      </c>
      <c r="R68" s="2" t="s">
        <v>37</v>
      </c>
      <c r="S68" s="9" t="s">
        <v>617</v>
      </c>
      <c r="T68" s="9" t="s">
        <v>605</v>
      </c>
      <c r="U68" s="9" t="s">
        <v>54</v>
      </c>
      <c r="V68" s="9">
        <v>1</v>
      </c>
      <c r="Y68" s="2" t="s">
        <v>618</v>
      </c>
      <c r="Z68" s="17" t="s">
        <v>607</v>
      </c>
      <c r="AA68" s="18" t="s">
        <v>56</v>
      </c>
      <c r="AB68" s="18" t="s">
        <v>608</v>
      </c>
      <c r="AC68" s="18" t="s">
        <v>609</v>
      </c>
      <c r="AD68" s="18" t="s">
        <v>619</v>
      </c>
      <c r="AE68" s="18" t="s">
        <v>620</v>
      </c>
      <c r="AG68" s="23">
        <v>294</v>
      </c>
      <c r="AH68" s="23" t="s">
        <v>618</v>
      </c>
      <c r="AI68" s="23" t="s">
        <v>1642</v>
      </c>
      <c r="AJ68" s="23" t="s">
        <v>609</v>
      </c>
      <c r="AK68" s="23" t="s">
        <v>620</v>
      </c>
      <c r="AL68" s="23">
        <v>0.47589999999999999</v>
      </c>
      <c r="AM68" s="24">
        <f t="shared" si="2"/>
        <v>6954242.9415999996</v>
      </c>
      <c r="AN68" s="23"/>
      <c r="AO68" s="25">
        <v>1461282400</v>
      </c>
      <c r="AP68" s="23"/>
      <c r="AQ68" s="1" t="s">
        <v>27</v>
      </c>
      <c r="AR68" s="23"/>
      <c r="AS68" s="23"/>
      <c r="AT68" s="28">
        <v>10131070.8792</v>
      </c>
      <c r="AU68" s="28">
        <v>6502706.6799999997</v>
      </c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</row>
    <row r="69" spans="1:182" s="9" customFormat="1" x14ac:dyDescent="0.2">
      <c r="A69" s="2" t="s">
        <v>31</v>
      </c>
      <c r="B69" s="1" t="s">
        <v>621</v>
      </c>
      <c r="C69" s="1" t="s">
        <v>27</v>
      </c>
      <c r="D69" s="1" t="s">
        <v>28</v>
      </c>
      <c r="E69" s="8">
        <v>43370</v>
      </c>
      <c r="F69" s="9" t="s">
        <v>29</v>
      </c>
      <c r="G69" s="2" t="s">
        <v>622</v>
      </c>
      <c r="H69" s="2" t="s">
        <v>621</v>
      </c>
      <c r="I69" s="2" t="s">
        <v>623</v>
      </c>
      <c r="J69" s="2" t="s">
        <v>33</v>
      </c>
      <c r="K69" s="2">
        <v>276.08</v>
      </c>
      <c r="L69" s="16">
        <v>11043.199999999999</v>
      </c>
      <c r="M69" s="2" t="s">
        <v>624</v>
      </c>
      <c r="N69" s="2" t="s">
        <v>35</v>
      </c>
      <c r="O69" s="2">
        <v>33.92</v>
      </c>
      <c r="P69" s="9">
        <f t="shared" si="3"/>
        <v>1187.2</v>
      </c>
      <c r="Q69" s="2" t="s">
        <v>625</v>
      </c>
      <c r="R69" s="2" t="s">
        <v>37</v>
      </c>
      <c r="S69" s="9" t="s">
        <v>626</v>
      </c>
      <c r="T69" s="9" t="s">
        <v>605</v>
      </c>
      <c r="U69" s="9" t="s">
        <v>65</v>
      </c>
      <c r="V69" s="9">
        <v>1</v>
      </c>
      <c r="Y69" s="2" t="s">
        <v>627</v>
      </c>
      <c r="Z69" s="17" t="s">
        <v>607</v>
      </c>
      <c r="AA69" s="18" t="s">
        <v>67</v>
      </c>
      <c r="AB69" s="18" t="s">
        <v>608</v>
      </c>
      <c r="AC69" s="18" t="s">
        <v>609</v>
      </c>
      <c r="AD69" s="18" t="s">
        <v>628</v>
      </c>
      <c r="AE69" s="18" t="s">
        <v>629</v>
      </c>
      <c r="AG69" s="23">
        <v>295</v>
      </c>
      <c r="AH69" s="23" t="s">
        <v>627</v>
      </c>
      <c r="AI69" s="23" t="s">
        <v>1642</v>
      </c>
      <c r="AJ69" s="23" t="s">
        <v>609</v>
      </c>
      <c r="AK69" s="23" t="s">
        <v>629</v>
      </c>
      <c r="AL69" s="23">
        <v>0.47220000000000001</v>
      </c>
      <c r="AM69" s="24">
        <f t="shared" si="2"/>
        <v>6900175.4928000001</v>
      </c>
      <c r="AN69" s="23"/>
      <c r="AO69" s="25">
        <v>1461282400</v>
      </c>
      <c r="AP69" s="23"/>
      <c r="AQ69" s="1" t="s">
        <v>27</v>
      </c>
      <c r="AR69" s="23"/>
      <c r="AS69" s="23"/>
      <c r="AT69" s="28">
        <v>8159800.9216</v>
      </c>
      <c r="AU69" s="28">
        <v>7876312.1359999999</v>
      </c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</row>
    <row r="70" spans="1:182" s="9" customFormat="1" x14ac:dyDescent="0.2">
      <c r="A70" s="2" t="s">
        <v>31</v>
      </c>
      <c r="B70" s="1" t="s">
        <v>630</v>
      </c>
      <c r="C70" s="1" t="s">
        <v>27</v>
      </c>
      <c r="D70" s="1" t="s">
        <v>28</v>
      </c>
      <c r="E70" s="8">
        <v>43370</v>
      </c>
      <c r="F70" s="9" t="s">
        <v>29</v>
      </c>
      <c r="G70" s="2" t="s">
        <v>631</v>
      </c>
      <c r="H70" s="2" t="s">
        <v>630</v>
      </c>
      <c r="I70" s="2" t="s">
        <v>632</v>
      </c>
      <c r="J70" s="2" t="s">
        <v>33</v>
      </c>
      <c r="K70" s="2">
        <v>164.48</v>
      </c>
      <c r="L70" s="16">
        <v>6579.2</v>
      </c>
      <c r="M70" s="2" t="s">
        <v>633</v>
      </c>
      <c r="N70" s="2" t="s">
        <v>35</v>
      </c>
      <c r="O70" s="2">
        <v>31.36</v>
      </c>
      <c r="P70" s="9">
        <f t="shared" si="3"/>
        <v>1097.5999999999999</v>
      </c>
      <c r="Q70" s="2" t="s">
        <v>634</v>
      </c>
      <c r="R70" s="2" t="s">
        <v>37</v>
      </c>
      <c r="S70" s="9" t="s">
        <v>635</v>
      </c>
      <c r="T70" s="9" t="s">
        <v>605</v>
      </c>
      <c r="U70" s="9" t="s">
        <v>76</v>
      </c>
      <c r="V70" s="9">
        <v>1</v>
      </c>
      <c r="Y70" s="2" t="s">
        <v>636</v>
      </c>
      <c r="Z70" s="17" t="s">
        <v>607</v>
      </c>
      <c r="AA70" s="18" t="s">
        <v>78</v>
      </c>
      <c r="AB70" s="18" t="s">
        <v>608</v>
      </c>
      <c r="AC70" s="18" t="s">
        <v>609</v>
      </c>
      <c r="AD70" s="18" t="s">
        <v>637</v>
      </c>
      <c r="AE70" s="18" t="s">
        <v>638</v>
      </c>
      <c r="AG70" s="23">
        <v>296</v>
      </c>
      <c r="AH70" s="23" t="s">
        <v>636</v>
      </c>
      <c r="AI70" s="23" t="s">
        <v>1642</v>
      </c>
      <c r="AJ70" s="23" t="s">
        <v>609</v>
      </c>
      <c r="AK70" s="23" t="s">
        <v>638</v>
      </c>
      <c r="AL70" s="23">
        <v>0.57940000000000003</v>
      </c>
      <c r="AM70" s="24">
        <f t="shared" si="2"/>
        <v>8466670.2256000005</v>
      </c>
      <c r="AN70" s="23"/>
      <c r="AO70" s="25">
        <v>1461282400</v>
      </c>
      <c r="AP70" s="23"/>
      <c r="AQ70" s="1" t="s">
        <v>27</v>
      </c>
      <c r="AR70" s="23"/>
      <c r="AS70" s="23"/>
      <c r="AT70" s="28">
        <v>5792523.4336000001</v>
      </c>
      <c r="AU70" s="28">
        <v>5783755.7391999997</v>
      </c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</row>
    <row r="71" spans="1:182" s="9" customFormat="1" x14ac:dyDescent="0.2">
      <c r="A71" s="2" t="s">
        <v>31</v>
      </c>
      <c r="B71" s="1" t="s">
        <v>639</v>
      </c>
      <c r="C71" s="1" t="s">
        <v>27</v>
      </c>
      <c r="D71" s="1" t="s">
        <v>28</v>
      </c>
      <c r="E71" s="8">
        <v>43370</v>
      </c>
      <c r="F71" s="9" t="s">
        <v>29</v>
      </c>
      <c r="G71" s="2" t="s">
        <v>640</v>
      </c>
      <c r="H71" s="2" t="s">
        <v>639</v>
      </c>
      <c r="I71" s="2" t="s">
        <v>641</v>
      </c>
      <c r="J71" s="2" t="s">
        <v>33</v>
      </c>
      <c r="K71" s="2">
        <v>243.6</v>
      </c>
      <c r="L71" s="16">
        <v>9744</v>
      </c>
      <c r="M71" s="2" t="s">
        <v>642</v>
      </c>
      <c r="N71" s="2" t="s">
        <v>35</v>
      </c>
      <c r="O71" s="2">
        <v>32.4</v>
      </c>
      <c r="P71" s="9">
        <f t="shared" si="3"/>
        <v>1134</v>
      </c>
      <c r="Q71" s="2" t="s">
        <v>643</v>
      </c>
      <c r="R71" s="2" t="s">
        <v>37</v>
      </c>
      <c r="S71" s="9" t="s">
        <v>644</v>
      </c>
      <c r="T71" s="9" t="s">
        <v>605</v>
      </c>
      <c r="U71" s="9" t="s">
        <v>87</v>
      </c>
      <c r="V71" s="9">
        <v>1</v>
      </c>
      <c r="W71" s="9">
        <v>18.7</v>
      </c>
      <c r="X71" s="9">
        <v>0.27</v>
      </c>
      <c r="Y71" s="2" t="s">
        <v>645</v>
      </c>
      <c r="Z71" s="17" t="s">
        <v>607</v>
      </c>
      <c r="AA71" s="18" t="s">
        <v>89</v>
      </c>
      <c r="AB71" s="18" t="s">
        <v>608</v>
      </c>
      <c r="AC71" s="18" t="s">
        <v>609</v>
      </c>
      <c r="AD71" s="18" t="s">
        <v>646</v>
      </c>
      <c r="AE71" s="18" t="s">
        <v>647</v>
      </c>
      <c r="AG71" s="23">
        <v>297</v>
      </c>
      <c r="AH71" s="23" t="s">
        <v>645</v>
      </c>
      <c r="AI71" s="23" t="s">
        <v>1642</v>
      </c>
      <c r="AJ71" s="23" t="s">
        <v>609</v>
      </c>
      <c r="AK71" s="23" t="s">
        <v>647</v>
      </c>
      <c r="AL71" s="23">
        <v>0.56899999999999995</v>
      </c>
      <c r="AM71" s="24">
        <f t="shared" si="2"/>
        <v>8314696.8559999987</v>
      </c>
      <c r="AN71" s="23"/>
      <c r="AO71" s="25">
        <v>1461282400</v>
      </c>
      <c r="AP71" s="23"/>
      <c r="AQ71" s="1" t="s">
        <v>27</v>
      </c>
      <c r="AR71" s="23"/>
      <c r="AS71" s="23"/>
      <c r="AT71" s="28">
        <v>8181720.1575999996</v>
      </c>
      <c r="AU71" s="28">
        <v>7727261.3312000008</v>
      </c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</row>
    <row r="72" spans="1:182" s="9" customFormat="1" x14ac:dyDescent="0.2">
      <c r="A72" s="2" t="s">
        <v>31</v>
      </c>
      <c r="B72" s="1" t="s">
        <v>648</v>
      </c>
      <c r="C72" s="1" t="s">
        <v>27</v>
      </c>
      <c r="D72" s="1" t="s">
        <v>28</v>
      </c>
      <c r="E72" s="8">
        <v>43370</v>
      </c>
      <c r="F72" s="9" t="s">
        <v>29</v>
      </c>
      <c r="G72" s="2" t="s">
        <v>649</v>
      </c>
      <c r="H72" s="2" t="s">
        <v>648</v>
      </c>
      <c r="I72" s="2" t="s">
        <v>650</v>
      </c>
      <c r="J72" s="2" t="s">
        <v>33</v>
      </c>
      <c r="K72" s="2">
        <v>268.24</v>
      </c>
      <c r="L72" s="16">
        <v>10729.6</v>
      </c>
      <c r="M72" s="2" t="s">
        <v>651</v>
      </c>
      <c r="N72" s="2" t="s">
        <v>35</v>
      </c>
      <c r="O72" s="2">
        <v>31.04</v>
      </c>
      <c r="P72" s="9">
        <f t="shared" si="3"/>
        <v>1086.3999999999999</v>
      </c>
      <c r="Q72" s="2" t="s">
        <v>652</v>
      </c>
      <c r="R72" s="2" t="s">
        <v>37</v>
      </c>
      <c r="S72" s="9" t="s">
        <v>653</v>
      </c>
      <c r="T72" s="9" t="s">
        <v>605</v>
      </c>
      <c r="U72" s="9" t="s">
        <v>98</v>
      </c>
      <c r="V72" s="9">
        <v>1</v>
      </c>
      <c r="Y72" s="2" t="s">
        <v>654</v>
      </c>
      <c r="Z72" s="17" t="s">
        <v>607</v>
      </c>
      <c r="AA72" s="18" t="s">
        <v>100</v>
      </c>
      <c r="AB72" s="18" t="s">
        <v>608</v>
      </c>
      <c r="AC72" s="18" t="s">
        <v>609</v>
      </c>
      <c r="AD72" s="18" t="s">
        <v>655</v>
      </c>
      <c r="AE72" s="18" t="s">
        <v>656</v>
      </c>
      <c r="AG72" s="23">
        <v>298</v>
      </c>
      <c r="AH72" s="23" t="s">
        <v>654</v>
      </c>
      <c r="AI72" s="23" t="s">
        <v>1642</v>
      </c>
      <c r="AJ72" s="23" t="s">
        <v>609</v>
      </c>
      <c r="AK72" s="23" t="s">
        <v>656</v>
      </c>
      <c r="AL72" s="23">
        <v>0.48209999999999997</v>
      </c>
      <c r="AM72" s="24">
        <f t="shared" si="2"/>
        <v>7044842.4503999995</v>
      </c>
      <c r="AN72" s="23"/>
      <c r="AO72" s="25">
        <v>1461282400</v>
      </c>
      <c r="AP72" s="23"/>
      <c r="AQ72" s="1" t="s">
        <v>27</v>
      </c>
      <c r="AR72" s="23"/>
      <c r="AS72" s="23"/>
      <c r="AT72" s="28">
        <v>7435004.8512000004</v>
      </c>
      <c r="AU72" s="28">
        <v>8370225.587199999</v>
      </c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</row>
    <row r="73" spans="1:182" s="9" customFormat="1" x14ac:dyDescent="0.2">
      <c r="A73" s="2" t="s">
        <v>31</v>
      </c>
      <c r="B73" s="1" t="s">
        <v>657</v>
      </c>
      <c r="C73" s="1" t="s">
        <v>27</v>
      </c>
      <c r="D73" s="1" t="s">
        <v>28</v>
      </c>
      <c r="E73" s="8">
        <v>43370</v>
      </c>
      <c r="F73" s="9" t="s">
        <v>29</v>
      </c>
      <c r="G73" s="2" t="s">
        <v>658</v>
      </c>
      <c r="H73" s="2" t="s">
        <v>657</v>
      </c>
      <c r="I73" s="2" t="s">
        <v>659</v>
      </c>
      <c r="J73" s="2" t="s">
        <v>33</v>
      </c>
      <c r="K73" s="2">
        <v>332.24</v>
      </c>
      <c r="L73" s="16">
        <v>13289.6</v>
      </c>
      <c r="M73" s="2" t="s">
        <v>660</v>
      </c>
      <c r="N73" s="2" t="s">
        <v>35</v>
      </c>
      <c r="O73" s="2">
        <v>31.44</v>
      </c>
      <c r="P73" s="9">
        <f t="shared" si="3"/>
        <v>1100.4000000000001</v>
      </c>
      <c r="Q73" s="2" t="s">
        <v>661</v>
      </c>
      <c r="R73" s="2" t="s">
        <v>37</v>
      </c>
      <c r="S73" s="9" t="s">
        <v>662</v>
      </c>
      <c r="T73" s="9" t="s">
        <v>605</v>
      </c>
      <c r="U73" s="9" t="s">
        <v>109</v>
      </c>
      <c r="V73" s="9">
        <v>1</v>
      </c>
      <c r="Y73" s="2" t="s">
        <v>663</v>
      </c>
      <c r="Z73" s="17" t="s">
        <v>607</v>
      </c>
      <c r="AA73" s="18" t="s">
        <v>111</v>
      </c>
      <c r="AB73" s="18" t="s">
        <v>608</v>
      </c>
      <c r="AC73" s="18" t="s">
        <v>609</v>
      </c>
      <c r="AD73" s="18" t="s">
        <v>664</v>
      </c>
      <c r="AE73" s="18" t="s">
        <v>665</v>
      </c>
      <c r="AG73" s="23">
        <v>299</v>
      </c>
      <c r="AH73" s="23" t="s">
        <v>663</v>
      </c>
      <c r="AI73" s="23" t="s">
        <v>1642</v>
      </c>
      <c r="AJ73" s="23" t="s">
        <v>609</v>
      </c>
      <c r="AK73" s="23" t="s">
        <v>665</v>
      </c>
      <c r="AL73" s="23">
        <v>0.435</v>
      </c>
      <c r="AM73" s="24">
        <f t="shared" si="2"/>
        <v>6356578.4400000004</v>
      </c>
      <c r="AN73" s="23"/>
      <c r="AO73" s="25">
        <v>1461282400</v>
      </c>
      <c r="AP73" s="23"/>
      <c r="AQ73" s="1" t="s">
        <v>27</v>
      </c>
      <c r="AR73" s="23"/>
      <c r="AS73" s="23"/>
      <c r="AT73" s="28">
        <v>7066761.6864</v>
      </c>
      <c r="AU73" s="28">
        <v>9080408.8335999995</v>
      </c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</row>
    <row r="74" spans="1:182" s="9" customFormat="1" x14ac:dyDescent="0.2">
      <c r="A74" s="2" t="s">
        <v>31</v>
      </c>
      <c r="B74" s="1" t="s">
        <v>666</v>
      </c>
      <c r="C74" s="1" t="s">
        <v>27</v>
      </c>
      <c r="D74" s="1" t="s">
        <v>28</v>
      </c>
      <c r="E74" s="8">
        <v>43370</v>
      </c>
      <c r="F74" s="9" t="s">
        <v>29</v>
      </c>
      <c r="G74" s="2" t="s">
        <v>667</v>
      </c>
      <c r="H74" s="2" t="s">
        <v>666</v>
      </c>
      <c r="I74" s="2" t="s">
        <v>668</v>
      </c>
      <c r="J74" s="2" t="s">
        <v>33</v>
      </c>
      <c r="K74" s="2">
        <v>499.44</v>
      </c>
      <c r="L74" s="16">
        <v>19977.599999999999</v>
      </c>
      <c r="M74" s="2" t="s">
        <v>669</v>
      </c>
      <c r="N74" s="2" t="s">
        <v>35</v>
      </c>
      <c r="O74" s="2">
        <v>25.6</v>
      </c>
      <c r="P74" s="9">
        <f t="shared" si="3"/>
        <v>896</v>
      </c>
      <c r="Q74" s="2" t="s">
        <v>670</v>
      </c>
      <c r="R74" s="2" t="s">
        <v>37</v>
      </c>
      <c r="S74" s="9" t="s">
        <v>671</v>
      </c>
      <c r="T74" s="9" t="s">
        <v>605</v>
      </c>
      <c r="U74" s="9" t="s">
        <v>120</v>
      </c>
      <c r="V74" s="9">
        <v>1</v>
      </c>
      <c r="Y74" s="2" t="s">
        <v>672</v>
      </c>
      <c r="Z74" s="17" t="s">
        <v>607</v>
      </c>
      <c r="AA74" s="18" t="s">
        <v>122</v>
      </c>
      <c r="AB74" s="18" t="s">
        <v>608</v>
      </c>
      <c r="AC74" s="18" t="s">
        <v>609</v>
      </c>
      <c r="AD74" s="18" t="s">
        <v>673</v>
      </c>
      <c r="AE74" s="18" t="s">
        <v>674</v>
      </c>
      <c r="AG74" s="23">
        <v>300</v>
      </c>
      <c r="AH74" s="23" t="s">
        <v>672</v>
      </c>
      <c r="AI74" s="23" t="s">
        <v>1642</v>
      </c>
      <c r="AJ74" s="23" t="s">
        <v>609</v>
      </c>
      <c r="AK74" s="23" t="s">
        <v>674</v>
      </c>
      <c r="AL74" s="23">
        <v>0.63800000000000001</v>
      </c>
      <c r="AM74" s="24">
        <f t="shared" si="2"/>
        <v>9322981.7120000012</v>
      </c>
      <c r="AN74" s="23"/>
      <c r="AO74" s="25">
        <v>1461282400</v>
      </c>
      <c r="AP74" s="23"/>
      <c r="AQ74" s="1" t="s">
        <v>27</v>
      </c>
      <c r="AR74" s="23"/>
      <c r="AS74" s="23"/>
      <c r="AT74" s="28">
        <v>7373630.9904000005</v>
      </c>
      <c r="AU74" s="28">
        <v>8053127.306400001</v>
      </c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</row>
    <row r="75" spans="1:182" s="9" customFormat="1" x14ac:dyDescent="0.2">
      <c r="A75" s="2" t="s">
        <v>31</v>
      </c>
      <c r="B75" s="1" t="s">
        <v>675</v>
      </c>
      <c r="C75" s="1" t="s">
        <v>27</v>
      </c>
      <c r="D75" s="1" t="s">
        <v>28</v>
      </c>
      <c r="E75" s="8">
        <v>43370</v>
      </c>
      <c r="F75" s="9" t="s">
        <v>29</v>
      </c>
      <c r="G75" s="2" t="s">
        <v>676</v>
      </c>
      <c r="H75" s="2" t="s">
        <v>675</v>
      </c>
      <c r="I75" s="2" t="s">
        <v>677</v>
      </c>
      <c r="J75" s="2" t="s">
        <v>33</v>
      </c>
      <c r="K75" s="2">
        <v>195.92</v>
      </c>
      <c r="L75" s="16">
        <v>7836.7999999999993</v>
      </c>
      <c r="M75" s="2" t="s">
        <v>678</v>
      </c>
      <c r="N75" s="2" t="s">
        <v>35</v>
      </c>
      <c r="O75" s="2">
        <v>32.32</v>
      </c>
      <c r="P75" s="9">
        <f t="shared" si="3"/>
        <v>1131.2</v>
      </c>
      <c r="Q75" s="2" t="s">
        <v>679</v>
      </c>
      <c r="R75" s="2" t="s">
        <v>37</v>
      </c>
      <c r="S75" s="9" t="s">
        <v>680</v>
      </c>
      <c r="T75" s="9" t="s">
        <v>605</v>
      </c>
      <c r="U75" s="9" t="s">
        <v>40</v>
      </c>
      <c r="V75" s="9">
        <v>2</v>
      </c>
      <c r="Y75" s="2" t="s">
        <v>681</v>
      </c>
      <c r="Z75" s="17" t="s">
        <v>607</v>
      </c>
      <c r="AA75" s="18" t="s">
        <v>132</v>
      </c>
      <c r="AB75" s="18" t="s">
        <v>682</v>
      </c>
      <c r="AC75" s="18" t="s">
        <v>683</v>
      </c>
      <c r="AD75" s="18" t="s">
        <v>610</v>
      </c>
      <c r="AE75" s="18" t="s">
        <v>611</v>
      </c>
      <c r="AG75" s="23">
        <v>301</v>
      </c>
      <c r="AH75" s="23" t="s">
        <v>681</v>
      </c>
      <c r="AI75" s="23" t="s">
        <v>1642</v>
      </c>
      <c r="AJ75" s="23" t="s">
        <v>683</v>
      </c>
      <c r="AK75" s="23" t="s">
        <v>611</v>
      </c>
      <c r="AL75" s="23">
        <v>0.54720000000000002</v>
      </c>
      <c r="AM75" s="24">
        <f t="shared" si="2"/>
        <v>7996137.2927999999</v>
      </c>
      <c r="AN75" s="23"/>
      <c r="AO75" s="25">
        <v>1461282400</v>
      </c>
      <c r="AP75" s="23"/>
      <c r="AQ75" s="1" t="s">
        <v>27</v>
      </c>
      <c r="AR75" s="23"/>
      <c r="AS75" s="23"/>
      <c r="AT75" s="28">
        <v>7455462.8048</v>
      </c>
      <c r="AU75" s="28">
        <v>6635683.3784000007</v>
      </c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</row>
    <row r="76" spans="1:182" s="9" customFormat="1" x14ac:dyDescent="0.2">
      <c r="A76" s="2" t="s">
        <v>31</v>
      </c>
      <c r="B76" s="1" t="s">
        <v>684</v>
      </c>
      <c r="C76" s="1" t="s">
        <v>27</v>
      </c>
      <c r="D76" s="1" t="s">
        <v>28</v>
      </c>
      <c r="E76" s="8">
        <v>43370</v>
      </c>
      <c r="F76" s="9" t="s">
        <v>29</v>
      </c>
      <c r="G76" s="2" t="s">
        <v>685</v>
      </c>
      <c r="H76" s="2" t="s">
        <v>684</v>
      </c>
      <c r="I76" s="2" t="s">
        <v>686</v>
      </c>
      <c r="J76" s="2" t="s">
        <v>33</v>
      </c>
      <c r="K76" s="2">
        <v>218.56</v>
      </c>
      <c r="L76" s="16">
        <v>8742.4</v>
      </c>
      <c r="M76" s="2" t="s">
        <v>687</v>
      </c>
      <c r="N76" s="2" t="s">
        <v>35</v>
      </c>
      <c r="O76" s="2">
        <v>33.520000000000003</v>
      </c>
      <c r="P76" s="9">
        <f t="shared" si="3"/>
        <v>1173.2</v>
      </c>
      <c r="Q76" s="2" t="s">
        <v>688</v>
      </c>
      <c r="R76" s="2" t="s">
        <v>37</v>
      </c>
      <c r="S76" s="9" t="s">
        <v>689</v>
      </c>
      <c r="T76" s="9" t="s">
        <v>605</v>
      </c>
      <c r="U76" s="9" t="s">
        <v>54</v>
      </c>
      <c r="V76" s="9">
        <v>2</v>
      </c>
      <c r="Y76" s="2" t="s">
        <v>690</v>
      </c>
      <c r="Z76" s="17" t="s">
        <v>607</v>
      </c>
      <c r="AA76" s="18" t="s">
        <v>142</v>
      </c>
      <c r="AB76" s="18" t="s">
        <v>682</v>
      </c>
      <c r="AC76" s="18" t="s">
        <v>683</v>
      </c>
      <c r="AD76" s="18" t="s">
        <v>619</v>
      </c>
      <c r="AE76" s="18" t="s">
        <v>620</v>
      </c>
      <c r="AG76" s="23">
        <v>302</v>
      </c>
      <c r="AH76" s="23" t="s">
        <v>690</v>
      </c>
      <c r="AI76" s="23" t="s">
        <v>1642</v>
      </c>
      <c r="AJ76" s="23" t="s">
        <v>683</v>
      </c>
      <c r="AK76" s="23" t="s">
        <v>620</v>
      </c>
      <c r="AL76" s="23">
        <v>0.38090000000000002</v>
      </c>
      <c r="AM76" s="24">
        <f t="shared" si="2"/>
        <v>5566024.6615999993</v>
      </c>
      <c r="AN76" s="23"/>
      <c r="AO76" s="25">
        <v>1461282400</v>
      </c>
      <c r="AP76" s="23"/>
      <c r="AQ76" s="1" t="s">
        <v>27</v>
      </c>
      <c r="AR76" s="23"/>
      <c r="AS76" s="23"/>
      <c r="AT76" s="28">
        <v>7831012.3816000009</v>
      </c>
      <c r="AU76" s="28">
        <v>7344405.3424000004</v>
      </c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</row>
    <row r="77" spans="1:182" s="9" customFormat="1" x14ac:dyDescent="0.2">
      <c r="A77" s="2" t="s">
        <v>31</v>
      </c>
      <c r="B77" s="1" t="s">
        <v>691</v>
      </c>
      <c r="C77" s="1" t="s">
        <v>27</v>
      </c>
      <c r="D77" s="1" t="s">
        <v>28</v>
      </c>
      <c r="E77" s="8">
        <v>43370</v>
      </c>
      <c r="F77" s="9" t="s">
        <v>29</v>
      </c>
      <c r="G77" s="2" t="s">
        <v>692</v>
      </c>
      <c r="H77" s="2" t="s">
        <v>691</v>
      </c>
      <c r="I77" s="2" t="s">
        <v>693</v>
      </c>
      <c r="J77" s="2" t="s">
        <v>33</v>
      </c>
      <c r="K77" s="2">
        <v>106</v>
      </c>
      <c r="L77" s="16">
        <v>4240</v>
      </c>
      <c r="M77" s="2" t="s">
        <v>694</v>
      </c>
      <c r="N77" s="2" t="s">
        <v>35</v>
      </c>
      <c r="O77" s="2">
        <v>31.84</v>
      </c>
      <c r="P77" s="9">
        <f t="shared" si="3"/>
        <v>1114.4000000000001</v>
      </c>
      <c r="Q77" s="2" t="s">
        <v>695</v>
      </c>
      <c r="R77" s="2" t="s">
        <v>37</v>
      </c>
      <c r="S77" s="9" t="s">
        <v>696</v>
      </c>
      <c r="T77" s="9" t="s">
        <v>605</v>
      </c>
      <c r="U77" s="9" t="s">
        <v>65</v>
      </c>
      <c r="V77" s="9">
        <v>2</v>
      </c>
      <c r="Y77" s="2" t="s">
        <v>697</v>
      </c>
      <c r="Z77" s="17" t="s">
        <v>607</v>
      </c>
      <c r="AA77" s="18" t="s">
        <v>150</v>
      </c>
      <c r="AB77" s="18" t="s">
        <v>682</v>
      </c>
      <c r="AC77" s="18" t="s">
        <v>683</v>
      </c>
      <c r="AD77" s="18" t="s">
        <v>628</v>
      </c>
      <c r="AE77" s="18" t="s">
        <v>629</v>
      </c>
      <c r="AG77" s="23">
        <v>303</v>
      </c>
      <c r="AH77" s="23" t="s">
        <v>697</v>
      </c>
      <c r="AI77" s="23" t="s">
        <v>1642</v>
      </c>
      <c r="AJ77" s="23" t="s">
        <v>683</v>
      </c>
      <c r="AK77" s="23" t="s">
        <v>629</v>
      </c>
      <c r="AL77" s="23">
        <v>0.50790000000000002</v>
      </c>
      <c r="AM77" s="24">
        <f t="shared" si="2"/>
        <v>7421853.3096000003</v>
      </c>
      <c r="AN77" s="23"/>
      <c r="AO77" s="25">
        <v>1461282400</v>
      </c>
      <c r="AP77" s="23"/>
      <c r="AQ77" s="1" t="s">
        <v>27</v>
      </c>
      <c r="AR77" s="23"/>
      <c r="AS77" s="23"/>
      <c r="AT77" s="28">
        <v>7557752.5727999993</v>
      </c>
      <c r="AU77" s="28">
        <v>7806170.5808000006</v>
      </c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</row>
    <row r="78" spans="1:182" s="9" customFormat="1" x14ac:dyDescent="0.2">
      <c r="A78" s="2" t="s">
        <v>31</v>
      </c>
      <c r="B78" s="1" t="s">
        <v>698</v>
      </c>
      <c r="C78" s="1" t="s">
        <v>27</v>
      </c>
      <c r="D78" s="1" t="s">
        <v>28</v>
      </c>
      <c r="E78" s="8">
        <v>43370</v>
      </c>
      <c r="F78" s="9" t="s">
        <v>29</v>
      </c>
      <c r="G78" s="2" t="s">
        <v>699</v>
      </c>
      <c r="H78" s="2" t="s">
        <v>698</v>
      </c>
      <c r="I78" s="2" t="s">
        <v>700</v>
      </c>
      <c r="J78" s="2" t="s">
        <v>33</v>
      </c>
      <c r="K78" s="2">
        <v>113.52</v>
      </c>
      <c r="L78" s="16">
        <v>4540.8</v>
      </c>
      <c r="M78" s="2" t="s">
        <v>701</v>
      </c>
      <c r="N78" s="2" t="s">
        <v>35</v>
      </c>
      <c r="O78" s="2">
        <v>34.479999999999997</v>
      </c>
      <c r="P78" s="9">
        <f t="shared" si="3"/>
        <v>1206.8</v>
      </c>
      <c r="Q78" s="2" t="s">
        <v>702</v>
      </c>
      <c r="R78" s="2" t="s">
        <v>37</v>
      </c>
      <c r="S78" s="9" t="s">
        <v>703</v>
      </c>
      <c r="T78" s="9" t="s">
        <v>605</v>
      </c>
      <c r="U78" s="9" t="s">
        <v>76</v>
      </c>
      <c r="V78" s="9">
        <v>2</v>
      </c>
      <c r="Y78" s="2" t="s">
        <v>704</v>
      </c>
      <c r="Z78" s="17" t="s">
        <v>607</v>
      </c>
      <c r="AA78" s="18" t="s">
        <v>158</v>
      </c>
      <c r="AB78" s="18" t="s">
        <v>682</v>
      </c>
      <c r="AC78" s="18" t="s">
        <v>683</v>
      </c>
      <c r="AD78" s="18" t="s">
        <v>637</v>
      </c>
      <c r="AE78" s="18" t="s">
        <v>638</v>
      </c>
      <c r="AG78" s="23">
        <v>304</v>
      </c>
      <c r="AH78" s="23" t="s">
        <v>704</v>
      </c>
      <c r="AI78" s="23" t="s">
        <v>1642</v>
      </c>
      <c r="AJ78" s="23" t="s">
        <v>683</v>
      </c>
      <c r="AK78" s="23" t="s">
        <v>638</v>
      </c>
      <c r="AL78" s="23">
        <v>0.48449999999999999</v>
      </c>
      <c r="AM78" s="24">
        <f t="shared" si="2"/>
        <v>7079913.2279999992</v>
      </c>
      <c r="AN78" s="23"/>
      <c r="AO78" s="25">
        <v>1461282400</v>
      </c>
      <c r="AP78" s="23"/>
      <c r="AQ78" s="1" t="s">
        <v>27</v>
      </c>
      <c r="AR78" s="23"/>
      <c r="AS78" s="23"/>
      <c r="AT78" s="28">
        <v>8227019.9119999995</v>
      </c>
      <c r="AU78" s="28">
        <v>5725304.4431999996</v>
      </c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</row>
    <row r="79" spans="1:182" s="9" customFormat="1" x14ac:dyDescent="0.2">
      <c r="A79" s="2" t="s">
        <v>31</v>
      </c>
      <c r="B79" s="1" t="s">
        <v>705</v>
      </c>
      <c r="C79" s="1" t="s">
        <v>27</v>
      </c>
      <c r="D79" s="1" t="s">
        <v>28</v>
      </c>
      <c r="E79" s="8">
        <v>43370</v>
      </c>
      <c r="F79" s="9" t="s">
        <v>29</v>
      </c>
      <c r="G79" s="2" t="s">
        <v>706</v>
      </c>
      <c r="H79" s="2" t="s">
        <v>705</v>
      </c>
      <c r="I79" s="2" t="s">
        <v>707</v>
      </c>
      <c r="J79" s="2" t="s">
        <v>33</v>
      </c>
      <c r="K79" s="2">
        <v>147.12</v>
      </c>
      <c r="L79" s="16">
        <v>5884.8</v>
      </c>
      <c r="M79" s="2" t="s">
        <v>708</v>
      </c>
      <c r="N79" s="2" t="s">
        <v>35</v>
      </c>
      <c r="O79" s="2">
        <v>31.92</v>
      </c>
      <c r="P79" s="9">
        <f t="shared" si="3"/>
        <v>1117.2</v>
      </c>
      <c r="Q79" s="2" t="s">
        <v>709</v>
      </c>
      <c r="R79" s="2" t="s">
        <v>37</v>
      </c>
      <c r="S79" s="9" t="s">
        <v>710</v>
      </c>
      <c r="T79" s="9" t="s">
        <v>605</v>
      </c>
      <c r="U79" s="9" t="s">
        <v>87</v>
      </c>
      <c r="V79" s="9">
        <v>2</v>
      </c>
      <c r="Y79" s="2" t="s">
        <v>711</v>
      </c>
      <c r="Z79" s="17" t="s">
        <v>607</v>
      </c>
      <c r="AA79" s="18" t="s">
        <v>166</v>
      </c>
      <c r="AB79" s="18" t="s">
        <v>682</v>
      </c>
      <c r="AC79" s="18" t="s">
        <v>683</v>
      </c>
      <c r="AD79" s="18" t="s">
        <v>646</v>
      </c>
      <c r="AE79" s="18" t="s">
        <v>647</v>
      </c>
      <c r="AG79" s="23">
        <v>305</v>
      </c>
      <c r="AH79" s="23" t="s">
        <v>711</v>
      </c>
      <c r="AI79" s="23" t="s">
        <v>1642</v>
      </c>
      <c r="AJ79" s="23" t="s">
        <v>683</v>
      </c>
      <c r="AK79" s="23" t="s">
        <v>647</v>
      </c>
      <c r="AL79" s="23">
        <v>0.57789999999999997</v>
      </c>
      <c r="AM79" s="24">
        <f t="shared" si="2"/>
        <v>8444750.989599999</v>
      </c>
      <c r="AN79" s="23"/>
      <c r="AO79" s="25">
        <v>1461282400</v>
      </c>
      <c r="AP79" s="23"/>
      <c r="AQ79" s="1" t="s">
        <v>27</v>
      </c>
      <c r="AR79" s="23"/>
      <c r="AS79" s="23"/>
      <c r="AT79" s="28">
        <v>7598668.4800000004</v>
      </c>
      <c r="AU79" s="28">
        <v>8536811.7807999998</v>
      </c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</row>
    <row r="80" spans="1:182" s="9" customFormat="1" x14ac:dyDescent="0.2">
      <c r="A80" s="2" t="s">
        <v>31</v>
      </c>
      <c r="B80" s="1" t="s">
        <v>712</v>
      </c>
      <c r="C80" s="1" t="s">
        <v>27</v>
      </c>
      <c r="D80" s="1" t="s">
        <v>28</v>
      </c>
      <c r="E80" s="8">
        <v>43370</v>
      </c>
      <c r="F80" s="9" t="s">
        <v>29</v>
      </c>
      <c r="G80" s="2" t="s">
        <v>713</v>
      </c>
      <c r="H80" s="2" t="s">
        <v>712</v>
      </c>
      <c r="I80" s="2" t="s">
        <v>714</v>
      </c>
      <c r="J80" s="2" t="s">
        <v>33</v>
      </c>
      <c r="K80" s="2">
        <v>135.28</v>
      </c>
      <c r="L80" s="16">
        <v>5411.2</v>
      </c>
      <c r="M80" s="2" t="s">
        <v>715</v>
      </c>
      <c r="N80" s="2" t="s">
        <v>35</v>
      </c>
      <c r="O80" s="2">
        <v>31.76</v>
      </c>
      <c r="P80" s="9">
        <f t="shared" si="3"/>
        <v>1111.6000000000001</v>
      </c>
      <c r="Q80" s="2" t="s">
        <v>716</v>
      </c>
      <c r="R80" s="2" t="s">
        <v>37</v>
      </c>
      <c r="S80" s="9" t="s">
        <v>717</v>
      </c>
      <c r="T80" s="9" t="s">
        <v>605</v>
      </c>
      <c r="U80" s="9" t="s">
        <v>98</v>
      </c>
      <c r="V80" s="9">
        <v>2</v>
      </c>
      <c r="Y80" s="2" t="s">
        <v>718</v>
      </c>
      <c r="Z80" s="17" t="s">
        <v>607</v>
      </c>
      <c r="AA80" s="18" t="s">
        <v>174</v>
      </c>
      <c r="AB80" s="18" t="s">
        <v>682</v>
      </c>
      <c r="AC80" s="18" t="s">
        <v>683</v>
      </c>
      <c r="AD80" s="18" t="s">
        <v>655</v>
      </c>
      <c r="AE80" s="18" t="s">
        <v>656</v>
      </c>
      <c r="AG80" s="23">
        <v>306</v>
      </c>
      <c r="AH80" s="23" t="s">
        <v>718</v>
      </c>
      <c r="AI80" s="23" t="s">
        <v>1642</v>
      </c>
      <c r="AJ80" s="23" t="s">
        <v>683</v>
      </c>
      <c r="AK80" s="23" t="s">
        <v>656</v>
      </c>
      <c r="AL80" s="23">
        <v>0.56920000000000004</v>
      </c>
      <c r="AM80" s="24">
        <f t="shared" si="2"/>
        <v>8317619.4208000004</v>
      </c>
      <c r="AN80" s="23"/>
      <c r="AO80" s="25">
        <v>1461282400</v>
      </c>
      <c r="AP80" s="23"/>
      <c r="AQ80" s="1" t="s">
        <v>27</v>
      </c>
      <c r="AR80" s="23"/>
      <c r="AS80" s="23"/>
      <c r="AT80" s="28">
        <v>7435004.8512000004</v>
      </c>
      <c r="AU80" s="28">
        <v>8161262.2039999999</v>
      </c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</row>
    <row r="81" spans="1:182" s="9" customFormat="1" x14ac:dyDescent="0.2">
      <c r="A81" s="2" t="s">
        <v>31</v>
      </c>
      <c r="B81" s="1" t="s">
        <v>719</v>
      </c>
      <c r="C81" s="1" t="s">
        <v>27</v>
      </c>
      <c r="D81" s="1" t="s">
        <v>28</v>
      </c>
      <c r="E81" s="8">
        <v>43370</v>
      </c>
      <c r="F81" s="9" t="s">
        <v>29</v>
      </c>
      <c r="G81" s="2" t="s">
        <v>720</v>
      </c>
      <c r="H81" s="2" t="s">
        <v>719</v>
      </c>
      <c r="I81" s="2" t="s">
        <v>721</v>
      </c>
      <c r="J81" s="2" t="s">
        <v>33</v>
      </c>
      <c r="K81" s="2">
        <v>121.92</v>
      </c>
      <c r="L81" s="16">
        <v>4876.8</v>
      </c>
      <c r="M81" s="2" t="s">
        <v>722</v>
      </c>
      <c r="N81" s="2" t="s">
        <v>35</v>
      </c>
      <c r="O81" s="2">
        <v>32</v>
      </c>
      <c r="P81" s="9">
        <f t="shared" si="3"/>
        <v>1120</v>
      </c>
      <c r="Q81" s="2" t="s">
        <v>723</v>
      </c>
      <c r="R81" s="2" t="s">
        <v>37</v>
      </c>
      <c r="S81" s="9" t="s">
        <v>724</v>
      </c>
      <c r="T81" s="9" t="s">
        <v>605</v>
      </c>
      <c r="U81" s="9" t="s">
        <v>109</v>
      </c>
      <c r="V81" s="9">
        <v>2</v>
      </c>
      <c r="Y81" s="2" t="s">
        <v>725</v>
      </c>
      <c r="Z81" s="17" t="s">
        <v>607</v>
      </c>
      <c r="AA81" s="18" t="s">
        <v>182</v>
      </c>
      <c r="AB81" s="18" t="s">
        <v>682</v>
      </c>
      <c r="AC81" s="18" t="s">
        <v>683</v>
      </c>
      <c r="AD81" s="18" t="s">
        <v>664</v>
      </c>
      <c r="AE81" s="18" t="s">
        <v>665</v>
      </c>
      <c r="AG81" s="23">
        <v>307</v>
      </c>
      <c r="AH81" s="23" t="s">
        <v>725</v>
      </c>
      <c r="AI81" s="23" t="s">
        <v>1642</v>
      </c>
      <c r="AJ81" s="23" t="s">
        <v>683</v>
      </c>
      <c r="AK81" s="23" t="s">
        <v>665</v>
      </c>
      <c r="AL81" s="23">
        <v>0.4274</v>
      </c>
      <c r="AM81" s="24">
        <f t="shared" si="2"/>
        <v>6245520.9775999999</v>
      </c>
      <c r="AN81" s="23"/>
      <c r="AO81" s="25">
        <v>1461282400</v>
      </c>
      <c r="AP81" s="23"/>
      <c r="AQ81" s="1" t="s">
        <v>27</v>
      </c>
      <c r="AR81" s="23"/>
      <c r="AS81" s="23"/>
      <c r="AT81" s="28">
        <v>6749663.4055999992</v>
      </c>
      <c r="AU81" s="28">
        <v>6135924.7976000002</v>
      </c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</row>
    <row r="82" spans="1:182" s="9" customFormat="1" x14ac:dyDescent="0.2">
      <c r="A82" s="2" t="s">
        <v>31</v>
      </c>
      <c r="B82" s="1" t="s">
        <v>726</v>
      </c>
      <c r="C82" s="1" t="s">
        <v>27</v>
      </c>
      <c r="D82" s="1" t="s">
        <v>28</v>
      </c>
      <c r="E82" s="8">
        <v>43370</v>
      </c>
      <c r="F82" s="9" t="s">
        <v>29</v>
      </c>
      <c r="G82" s="2" t="s">
        <v>727</v>
      </c>
      <c r="H82" s="2" t="s">
        <v>726</v>
      </c>
      <c r="I82" s="2" t="s">
        <v>728</v>
      </c>
      <c r="J82" s="2" t="s">
        <v>33</v>
      </c>
      <c r="K82" s="2">
        <v>132.56</v>
      </c>
      <c r="L82" s="16">
        <v>5302.4</v>
      </c>
      <c r="M82" s="2" t="s">
        <v>729</v>
      </c>
      <c r="N82" s="2" t="s">
        <v>35</v>
      </c>
      <c r="O82" s="2">
        <v>29.44</v>
      </c>
      <c r="P82" s="9">
        <f t="shared" si="3"/>
        <v>1030.4000000000001</v>
      </c>
      <c r="Q82" s="2" t="s">
        <v>730</v>
      </c>
      <c r="R82" s="2" t="s">
        <v>37</v>
      </c>
      <c r="S82" s="9" t="s">
        <v>731</v>
      </c>
      <c r="T82" s="9" t="s">
        <v>605</v>
      </c>
      <c r="U82" s="9" t="s">
        <v>120</v>
      </c>
      <c r="V82" s="9">
        <v>2</v>
      </c>
      <c r="Y82" s="2" t="s">
        <v>732</v>
      </c>
      <c r="Z82" s="17" t="s">
        <v>607</v>
      </c>
      <c r="AA82" s="18" t="s">
        <v>190</v>
      </c>
      <c r="AB82" s="18" t="s">
        <v>682</v>
      </c>
      <c r="AC82" s="18" t="s">
        <v>683</v>
      </c>
      <c r="AD82" s="18" t="s">
        <v>673</v>
      </c>
      <c r="AE82" s="18" t="s">
        <v>674</v>
      </c>
      <c r="AG82" s="23">
        <v>308</v>
      </c>
      <c r="AH82" s="23" t="s">
        <v>732</v>
      </c>
      <c r="AI82" s="23" t="s">
        <v>1642</v>
      </c>
      <c r="AJ82" s="23" t="s">
        <v>683</v>
      </c>
      <c r="AK82" s="23" t="s">
        <v>674</v>
      </c>
      <c r="AL82" s="23">
        <v>0.6169</v>
      </c>
      <c r="AM82" s="24">
        <f t="shared" si="2"/>
        <v>9014651.1256000008</v>
      </c>
      <c r="AN82" s="23"/>
      <c r="AO82" s="25">
        <v>1461282400</v>
      </c>
      <c r="AP82" s="23"/>
      <c r="AQ82" s="1" t="s">
        <v>27</v>
      </c>
      <c r="AR82" s="23"/>
      <c r="AS82" s="23"/>
      <c r="AT82" s="28">
        <v>8335154.8096000003</v>
      </c>
      <c r="AU82" s="28">
        <v>8231403.7592000011</v>
      </c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</row>
    <row r="83" spans="1:182" s="9" customFormat="1" x14ac:dyDescent="0.2">
      <c r="A83" s="2" t="s">
        <v>31</v>
      </c>
      <c r="B83" s="1" t="s">
        <v>733</v>
      </c>
      <c r="C83" s="1" t="s">
        <v>27</v>
      </c>
      <c r="D83" s="1" t="s">
        <v>28</v>
      </c>
      <c r="E83" s="8">
        <v>43370</v>
      </c>
      <c r="F83" s="9" t="s">
        <v>29</v>
      </c>
      <c r="G83" s="2" t="s">
        <v>734</v>
      </c>
      <c r="H83" s="2" t="s">
        <v>733</v>
      </c>
      <c r="I83" s="2" t="s">
        <v>735</v>
      </c>
      <c r="J83" s="2" t="s">
        <v>33</v>
      </c>
      <c r="K83" s="2">
        <v>246.64</v>
      </c>
      <c r="L83" s="16">
        <v>9865.5999999999985</v>
      </c>
      <c r="M83" s="2" t="s">
        <v>736</v>
      </c>
      <c r="N83" s="2" t="s">
        <v>35</v>
      </c>
      <c r="O83" s="2">
        <v>31.84</v>
      </c>
      <c r="P83" s="9">
        <f t="shared" si="3"/>
        <v>1114.4000000000001</v>
      </c>
      <c r="Q83" s="2" t="s">
        <v>737</v>
      </c>
      <c r="R83" s="2" t="s">
        <v>37</v>
      </c>
      <c r="S83" s="9" t="s">
        <v>738</v>
      </c>
      <c r="T83" s="9" t="s">
        <v>605</v>
      </c>
      <c r="U83" s="9" t="s">
        <v>40</v>
      </c>
      <c r="V83" s="9">
        <v>3</v>
      </c>
      <c r="Y83" s="2" t="s">
        <v>739</v>
      </c>
      <c r="Z83" s="17" t="s">
        <v>607</v>
      </c>
      <c r="AA83" s="18" t="s">
        <v>198</v>
      </c>
      <c r="AB83" s="18" t="s">
        <v>740</v>
      </c>
      <c r="AC83" s="18" t="s">
        <v>741</v>
      </c>
      <c r="AD83" s="18" t="s">
        <v>610</v>
      </c>
      <c r="AE83" s="18" t="s">
        <v>611</v>
      </c>
      <c r="AG83" s="23">
        <v>309</v>
      </c>
      <c r="AH83" s="23" t="s">
        <v>739</v>
      </c>
      <c r="AI83" s="23" t="s">
        <v>1642</v>
      </c>
      <c r="AJ83" s="23" t="s">
        <v>741</v>
      </c>
      <c r="AK83" s="23" t="s">
        <v>611</v>
      </c>
      <c r="AL83" s="23">
        <v>0.45469999999999999</v>
      </c>
      <c r="AM83" s="24">
        <f t="shared" si="2"/>
        <v>6644451.0727999993</v>
      </c>
      <c r="AN83" s="23"/>
      <c r="AO83" s="25">
        <v>1461282400</v>
      </c>
      <c r="AP83" s="23"/>
      <c r="AQ83" s="1" t="s">
        <v>27</v>
      </c>
      <c r="AR83" s="23"/>
      <c r="AS83" s="23"/>
      <c r="AT83" s="28">
        <v>4724325.9991999995</v>
      </c>
      <c r="AU83" s="28">
        <v>2862652.2215999998</v>
      </c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</row>
    <row r="84" spans="1:182" s="9" customFormat="1" x14ac:dyDescent="0.2">
      <c r="A84" s="2" t="s">
        <v>31</v>
      </c>
      <c r="B84" s="1" t="s">
        <v>742</v>
      </c>
      <c r="C84" s="1" t="s">
        <v>27</v>
      </c>
      <c r="D84" s="1" t="s">
        <v>28</v>
      </c>
      <c r="E84" s="8">
        <v>43370</v>
      </c>
      <c r="F84" s="9" t="s">
        <v>29</v>
      </c>
      <c r="G84" s="2" t="s">
        <v>743</v>
      </c>
      <c r="H84" s="2" t="s">
        <v>742</v>
      </c>
      <c r="I84" s="2" t="s">
        <v>744</v>
      </c>
      <c r="J84" s="2" t="s">
        <v>33</v>
      </c>
      <c r="K84" s="2">
        <v>288.8</v>
      </c>
      <c r="L84" s="16">
        <v>11552</v>
      </c>
      <c r="M84" s="2" t="s">
        <v>745</v>
      </c>
      <c r="N84" s="2" t="s">
        <v>35</v>
      </c>
      <c r="O84" s="2">
        <v>31.6</v>
      </c>
      <c r="P84" s="9">
        <f t="shared" si="3"/>
        <v>1106</v>
      </c>
      <c r="Q84" s="2" t="s">
        <v>746</v>
      </c>
      <c r="R84" s="2" t="s">
        <v>37</v>
      </c>
      <c r="S84" s="9" t="s">
        <v>747</v>
      </c>
      <c r="T84" s="9" t="s">
        <v>605</v>
      </c>
      <c r="U84" s="9" t="s">
        <v>54</v>
      </c>
      <c r="V84" s="9">
        <v>3</v>
      </c>
      <c r="Y84" s="2" t="s">
        <v>748</v>
      </c>
      <c r="Z84" s="17" t="s">
        <v>607</v>
      </c>
      <c r="AA84" s="18" t="s">
        <v>208</v>
      </c>
      <c r="AB84" s="18" t="s">
        <v>740</v>
      </c>
      <c r="AC84" s="18" t="s">
        <v>741</v>
      </c>
      <c r="AD84" s="18" t="s">
        <v>619</v>
      </c>
      <c r="AE84" s="18" t="s">
        <v>620</v>
      </c>
      <c r="AG84" s="23">
        <v>310</v>
      </c>
      <c r="AH84" s="23" t="s">
        <v>748</v>
      </c>
      <c r="AI84" s="23" t="s">
        <v>1642</v>
      </c>
      <c r="AJ84" s="23" t="s">
        <v>741</v>
      </c>
      <c r="AK84" s="23" t="s">
        <v>620</v>
      </c>
      <c r="AL84" s="23">
        <v>0.51790000000000003</v>
      </c>
      <c r="AM84" s="24">
        <f t="shared" si="2"/>
        <v>7567981.5496000005</v>
      </c>
      <c r="AN84" s="23"/>
      <c r="AO84" s="25">
        <v>1461282400</v>
      </c>
      <c r="AP84" s="23"/>
      <c r="AQ84" s="1" t="s">
        <v>27</v>
      </c>
      <c r="AR84" s="23"/>
      <c r="AS84" s="23"/>
      <c r="AT84" s="28">
        <v>8117423.7320000008</v>
      </c>
      <c r="AU84" s="28">
        <v>7626432.8456000006</v>
      </c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</row>
    <row r="85" spans="1:182" s="9" customFormat="1" x14ac:dyDescent="0.2">
      <c r="A85" s="2" t="s">
        <v>31</v>
      </c>
      <c r="B85" s="1" t="s">
        <v>749</v>
      </c>
      <c r="C85" s="1" t="s">
        <v>27</v>
      </c>
      <c r="D85" s="1" t="s">
        <v>28</v>
      </c>
      <c r="E85" s="8">
        <v>43370</v>
      </c>
      <c r="F85" s="9" t="s">
        <v>29</v>
      </c>
      <c r="G85" s="2" t="s">
        <v>750</v>
      </c>
      <c r="H85" s="2" t="s">
        <v>749</v>
      </c>
      <c r="I85" s="2" t="s">
        <v>751</v>
      </c>
      <c r="J85" s="2" t="s">
        <v>33</v>
      </c>
      <c r="K85" s="2">
        <v>320.64</v>
      </c>
      <c r="L85" s="16">
        <v>12825.599999999999</v>
      </c>
      <c r="M85" s="2" t="s">
        <v>752</v>
      </c>
      <c r="N85" s="2" t="s">
        <v>35</v>
      </c>
      <c r="O85" s="2">
        <v>29.36</v>
      </c>
      <c r="P85" s="9">
        <f t="shared" si="3"/>
        <v>1027.5999999999999</v>
      </c>
      <c r="Q85" s="2" t="s">
        <v>753</v>
      </c>
      <c r="R85" s="2" t="s">
        <v>37</v>
      </c>
      <c r="S85" s="9" t="s">
        <v>754</v>
      </c>
      <c r="T85" s="9" t="s">
        <v>605</v>
      </c>
      <c r="U85" s="9" t="s">
        <v>65</v>
      </c>
      <c r="V85" s="9">
        <v>3</v>
      </c>
      <c r="W85" s="9">
        <v>13.7</v>
      </c>
      <c r="X85" s="9">
        <v>0.2</v>
      </c>
      <c r="Y85" s="2" t="s">
        <v>755</v>
      </c>
      <c r="Z85" s="17" t="s">
        <v>607</v>
      </c>
      <c r="AA85" s="18" t="s">
        <v>216</v>
      </c>
      <c r="AB85" s="18" t="s">
        <v>740</v>
      </c>
      <c r="AC85" s="18" t="s">
        <v>741</v>
      </c>
      <c r="AD85" s="18" t="s">
        <v>628</v>
      </c>
      <c r="AE85" s="18" t="s">
        <v>629</v>
      </c>
      <c r="AG85" s="23">
        <v>311</v>
      </c>
      <c r="AH85" s="23" t="s">
        <v>755</v>
      </c>
      <c r="AI85" s="23" t="s">
        <v>1642</v>
      </c>
      <c r="AJ85" s="23" t="s">
        <v>741</v>
      </c>
      <c r="AK85" s="23" t="s">
        <v>629</v>
      </c>
      <c r="AL85" s="23">
        <v>0.45219999999999999</v>
      </c>
      <c r="AM85" s="24">
        <f t="shared" si="2"/>
        <v>6607919.0127999997</v>
      </c>
      <c r="AN85" s="23"/>
      <c r="AO85" s="25">
        <v>1461282400</v>
      </c>
      <c r="AP85" s="23"/>
      <c r="AQ85" s="1" t="s">
        <v>27</v>
      </c>
      <c r="AR85" s="23"/>
      <c r="AS85" s="23"/>
      <c r="AT85" s="28">
        <v>7068222.9687999999</v>
      </c>
      <c r="AU85" s="28">
        <v>7458385.3695999989</v>
      </c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</row>
    <row r="86" spans="1:182" s="9" customFormat="1" x14ac:dyDescent="0.2">
      <c r="A86" s="2" t="s">
        <v>31</v>
      </c>
      <c r="B86" s="1" t="s">
        <v>756</v>
      </c>
      <c r="C86" s="1" t="s">
        <v>27</v>
      </c>
      <c r="D86" s="1" t="s">
        <v>28</v>
      </c>
      <c r="E86" s="8">
        <v>43370</v>
      </c>
      <c r="F86" s="9" t="s">
        <v>29</v>
      </c>
      <c r="G86" s="2" t="s">
        <v>757</v>
      </c>
      <c r="H86" s="2" t="s">
        <v>756</v>
      </c>
      <c r="I86" s="2" t="s">
        <v>758</v>
      </c>
      <c r="J86" s="2" t="s">
        <v>33</v>
      </c>
      <c r="K86" s="2">
        <v>247.36</v>
      </c>
      <c r="L86" s="16">
        <v>9894.4000000000015</v>
      </c>
      <c r="M86" s="2" t="s">
        <v>759</v>
      </c>
      <c r="N86" s="2" t="s">
        <v>35</v>
      </c>
      <c r="O86" s="2">
        <v>30.48</v>
      </c>
      <c r="P86" s="9">
        <f t="shared" si="3"/>
        <v>1066.8</v>
      </c>
      <c r="Q86" s="2" t="s">
        <v>760</v>
      </c>
      <c r="R86" s="2" t="s">
        <v>37</v>
      </c>
      <c r="S86" s="9" t="s">
        <v>761</v>
      </c>
      <c r="T86" s="9" t="s">
        <v>605</v>
      </c>
      <c r="U86" s="9" t="s">
        <v>76</v>
      </c>
      <c r="V86" s="9">
        <v>3</v>
      </c>
      <c r="Y86" s="2" t="s">
        <v>762</v>
      </c>
      <c r="Z86" s="17" t="s">
        <v>607</v>
      </c>
      <c r="AA86" s="18" t="s">
        <v>224</v>
      </c>
      <c r="AB86" s="18" t="s">
        <v>740</v>
      </c>
      <c r="AC86" s="18" t="s">
        <v>741</v>
      </c>
      <c r="AD86" s="18" t="s">
        <v>637</v>
      </c>
      <c r="AE86" s="18" t="s">
        <v>638</v>
      </c>
      <c r="AG86" s="23">
        <v>312</v>
      </c>
      <c r="AH86" s="23" t="s">
        <v>762</v>
      </c>
      <c r="AI86" s="23" t="s">
        <v>1642</v>
      </c>
      <c r="AJ86" s="23" t="s">
        <v>741</v>
      </c>
      <c r="AK86" s="23" t="s">
        <v>638</v>
      </c>
      <c r="AL86" s="23">
        <v>0.43630000000000002</v>
      </c>
      <c r="AM86" s="24">
        <f t="shared" si="2"/>
        <v>6375575.1112000002</v>
      </c>
      <c r="AN86" s="23"/>
      <c r="AO86" s="25">
        <v>1461282400</v>
      </c>
      <c r="AP86" s="23"/>
      <c r="AQ86" s="1" t="s">
        <v>27</v>
      </c>
      <c r="AR86" s="23"/>
      <c r="AS86" s="23"/>
      <c r="AT86" s="28">
        <v>6898714.2104000011</v>
      </c>
      <c r="AU86" s="28">
        <v>6984929.8719999995</v>
      </c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</row>
    <row r="87" spans="1:182" s="9" customFormat="1" x14ac:dyDescent="0.2">
      <c r="A87" s="2" t="s">
        <v>31</v>
      </c>
      <c r="B87" s="1" t="s">
        <v>763</v>
      </c>
      <c r="C87" s="1" t="s">
        <v>27</v>
      </c>
      <c r="D87" s="1" t="s">
        <v>28</v>
      </c>
      <c r="E87" s="8">
        <v>43370</v>
      </c>
      <c r="F87" s="9" t="s">
        <v>29</v>
      </c>
      <c r="G87" s="2" t="s">
        <v>764</v>
      </c>
      <c r="H87" s="2" t="s">
        <v>763</v>
      </c>
      <c r="I87" s="2" t="s">
        <v>765</v>
      </c>
      <c r="J87" s="2" t="s">
        <v>33</v>
      </c>
      <c r="K87" s="2">
        <v>238.8</v>
      </c>
      <c r="L87" s="16">
        <v>9552</v>
      </c>
      <c r="M87" s="2" t="s">
        <v>766</v>
      </c>
      <c r="N87" s="2" t="s">
        <v>35</v>
      </c>
      <c r="O87" s="2">
        <v>31.36</v>
      </c>
      <c r="P87" s="9">
        <f t="shared" si="3"/>
        <v>1097.5999999999999</v>
      </c>
      <c r="Q87" s="2" t="s">
        <v>767</v>
      </c>
      <c r="R87" s="2" t="s">
        <v>37</v>
      </c>
      <c r="S87" s="9" t="s">
        <v>768</v>
      </c>
      <c r="T87" s="9" t="s">
        <v>605</v>
      </c>
      <c r="U87" s="9" t="s">
        <v>87</v>
      </c>
      <c r="V87" s="9">
        <v>3</v>
      </c>
      <c r="Y87" s="2" t="s">
        <v>769</v>
      </c>
      <c r="Z87" s="17" t="s">
        <v>607</v>
      </c>
      <c r="AA87" s="18" t="s">
        <v>232</v>
      </c>
      <c r="AB87" s="18" t="s">
        <v>740</v>
      </c>
      <c r="AC87" s="18" t="s">
        <v>741</v>
      </c>
      <c r="AD87" s="18" t="s">
        <v>646</v>
      </c>
      <c r="AE87" s="18" t="s">
        <v>647</v>
      </c>
      <c r="AG87" s="23">
        <v>313</v>
      </c>
      <c r="AH87" s="23" t="s">
        <v>769</v>
      </c>
      <c r="AI87" s="23" t="s">
        <v>1642</v>
      </c>
      <c r="AJ87" s="23" t="s">
        <v>741</v>
      </c>
      <c r="AK87" s="23" t="s">
        <v>647</v>
      </c>
      <c r="AL87" s="23">
        <v>0.4713</v>
      </c>
      <c r="AM87" s="24">
        <f t="shared" si="2"/>
        <v>6887023.9512</v>
      </c>
      <c r="AN87" s="23"/>
      <c r="AO87" s="25">
        <v>1461282400</v>
      </c>
      <c r="AP87" s="23"/>
      <c r="AQ87" s="1" t="s">
        <v>27</v>
      </c>
      <c r="AR87" s="23"/>
      <c r="AS87" s="23"/>
      <c r="AT87" s="28">
        <v>6774505.2063999996</v>
      </c>
      <c r="AU87" s="28">
        <v>6854875.7384000001</v>
      </c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</row>
    <row r="88" spans="1:182" s="9" customFormat="1" x14ac:dyDescent="0.2">
      <c r="A88" s="2" t="s">
        <v>31</v>
      </c>
      <c r="B88" s="1" t="s">
        <v>770</v>
      </c>
      <c r="C88" s="1" t="s">
        <v>27</v>
      </c>
      <c r="D88" s="1" t="s">
        <v>28</v>
      </c>
      <c r="E88" s="8">
        <v>43370</v>
      </c>
      <c r="F88" s="9" t="s">
        <v>29</v>
      </c>
      <c r="G88" s="2" t="s">
        <v>771</v>
      </c>
      <c r="H88" s="2" t="s">
        <v>770</v>
      </c>
      <c r="I88" s="2" t="s">
        <v>772</v>
      </c>
      <c r="J88" s="2" t="s">
        <v>33</v>
      </c>
      <c r="K88" s="2">
        <v>278.32</v>
      </c>
      <c r="L88" s="16">
        <v>11132.8</v>
      </c>
      <c r="M88" s="2" t="s">
        <v>773</v>
      </c>
      <c r="N88" s="2" t="s">
        <v>35</v>
      </c>
      <c r="O88" s="2">
        <v>33.36</v>
      </c>
      <c r="P88" s="9">
        <f t="shared" si="3"/>
        <v>1167.5999999999999</v>
      </c>
      <c r="Q88" s="2" t="s">
        <v>774</v>
      </c>
      <c r="R88" s="2" t="s">
        <v>37</v>
      </c>
      <c r="S88" s="9" t="s">
        <v>775</v>
      </c>
      <c r="T88" s="9" t="s">
        <v>605</v>
      </c>
      <c r="U88" s="9" t="s">
        <v>98</v>
      </c>
      <c r="V88" s="9">
        <v>3</v>
      </c>
      <c r="Y88" s="2" t="s">
        <v>776</v>
      </c>
      <c r="Z88" s="17" t="s">
        <v>607</v>
      </c>
      <c r="AA88" s="18" t="s">
        <v>240</v>
      </c>
      <c r="AB88" s="18" t="s">
        <v>740</v>
      </c>
      <c r="AC88" s="18" t="s">
        <v>741</v>
      </c>
      <c r="AD88" s="18" t="s">
        <v>655</v>
      </c>
      <c r="AE88" s="18" t="s">
        <v>656</v>
      </c>
      <c r="AG88" s="23">
        <v>314</v>
      </c>
      <c r="AH88" s="23" t="s">
        <v>776</v>
      </c>
      <c r="AI88" s="23" t="s">
        <v>1642</v>
      </c>
      <c r="AJ88" s="23" t="s">
        <v>741</v>
      </c>
      <c r="AK88" s="23" t="s">
        <v>656</v>
      </c>
      <c r="AL88" s="23">
        <v>0.505</v>
      </c>
      <c r="AM88" s="24">
        <f t="shared" si="2"/>
        <v>7379476.1200000001</v>
      </c>
      <c r="AN88" s="23"/>
      <c r="AO88" s="25">
        <v>1461282400</v>
      </c>
      <c r="AP88" s="23"/>
      <c r="AQ88" s="1" t="s">
        <v>27</v>
      </c>
      <c r="AR88" s="23"/>
      <c r="AS88" s="23"/>
      <c r="AT88" s="28">
        <v>7952298.8208000008</v>
      </c>
      <c r="AU88" s="28">
        <v>6325891.5096000005</v>
      </c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</row>
    <row r="89" spans="1:182" s="9" customFormat="1" x14ac:dyDescent="0.2">
      <c r="A89" s="2" t="s">
        <v>31</v>
      </c>
      <c r="B89" s="1" t="s">
        <v>777</v>
      </c>
      <c r="C89" s="1" t="s">
        <v>27</v>
      </c>
      <c r="D89" s="1" t="s">
        <v>28</v>
      </c>
      <c r="E89" s="8">
        <v>43370</v>
      </c>
      <c r="F89" s="9" t="s">
        <v>29</v>
      </c>
      <c r="G89" s="2" t="s">
        <v>778</v>
      </c>
      <c r="H89" s="2" t="s">
        <v>777</v>
      </c>
      <c r="I89" s="2" t="s">
        <v>779</v>
      </c>
      <c r="J89" s="2" t="s">
        <v>33</v>
      </c>
      <c r="K89" s="2">
        <v>186.56</v>
      </c>
      <c r="L89" s="16">
        <v>7462.4</v>
      </c>
      <c r="M89" s="2" t="s">
        <v>780</v>
      </c>
      <c r="N89" s="2" t="s">
        <v>35</v>
      </c>
      <c r="O89" s="2">
        <v>32.08</v>
      </c>
      <c r="P89" s="9">
        <f t="shared" si="3"/>
        <v>1122.8</v>
      </c>
      <c r="Q89" s="2" t="s">
        <v>781</v>
      </c>
      <c r="R89" s="2" t="s">
        <v>37</v>
      </c>
      <c r="S89" s="9" t="s">
        <v>782</v>
      </c>
      <c r="T89" s="9" t="s">
        <v>605</v>
      </c>
      <c r="U89" s="9" t="s">
        <v>109</v>
      </c>
      <c r="V89" s="9">
        <v>3</v>
      </c>
      <c r="Y89" s="2" t="s">
        <v>783</v>
      </c>
      <c r="Z89" s="17" t="s">
        <v>607</v>
      </c>
      <c r="AA89" s="18" t="s">
        <v>248</v>
      </c>
      <c r="AB89" s="18" t="s">
        <v>740</v>
      </c>
      <c r="AC89" s="18" t="s">
        <v>741</v>
      </c>
      <c r="AD89" s="18" t="s">
        <v>664</v>
      </c>
      <c r="AE89" s="18" t="s">
        <v>665</v>
      </c>
      <c r="AG89" s="23">
        <v>315</v>
      </c>
      <c r="AH89" s="23" t="s">
        <v>783</v>
      </c>
      <c r="AI89" s="23" t="s">
        <v>1642</v>
      </c>
      <c r="AJ89" s="23" t="s">
        <v>741</v>
      </c>
      <c r="AK89" s="23" t="s">
        <v>665</v>
      </c>
      <c r="AL89" s="23">
        <v>0.44469999999999998</v>
      </c>
      <c r="AM89" s="24">
        <f t="shared" si="2"/>
        <v>6498322.8328</v>
      </c>
      <c r="AN89" s="23"/>
      <c r="AO89" s="25">
        <v>1461282400</v>
      </c>
      <c r="AP89" s="23"/>
      <c r="AQ89" s="1" t="s">
        <v>27</v>
      </c>
      <c r="AR89" s="23"/>
      <c r="AS89" s="23"/>
      <c r="AT89" s="28">
        <v>7173435.3015999999</v>
      </c>
      <c r="AU89" s="28">
        <v>5206549.1912000002</v>
      </c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</row>
    <row r="90" spans="1:182" s="9" customFormat="1" x14ac:dyDescent="0.2">
      <c r="A90" s="2" t="s">
        <v>31</v>
      </c>
      <c r="B90" s="1" t="s">
        <v>784</v>
      </c>
      <c r="C90" s="1" t="s">
        <v>27</v>
      </c>
      <c r="D90" s="1" t="s">
        <v>28</v>
      </c>
      <c r="E90" s="8">
        <v>43370</v>
      </c>
      <c r="F90" s="9" t="s">
        <v>29</v>
      </c>
      <c r="G90" s="2" t="s">
        <v>785</v>
      </c>
      <c r="H90" s="2" t="s">
        <v>784</v>
      </c>
      <c r="I90" s="2" t="s">
        <v>786</v>
      </c>
      <c r="J90" s="2" t="s">
        <v>33</v>
      </c>
      <c r="K90" s="2">
        <v>150.72</v>
      </c>
      <c r="L90" s="16">
        <v>6028.8</v>
      </c>
      <c r="M90" s="2" t="s">
        <v>787</v>
      </c>
      <c r="N90" s="2" t="s">
        <v>35</v>
      </c>
      <c r="O90" s="2">
        <v>31.12</v>
      </c>
      <c r="P90" s="9">
        <f t="shared" si="3"/>
        <v>1089.2</v>
      </c>
      <c r="Q90" s="2" t="s">
        <v>788</v>
      </c>
      <c r="R90" s="2" t="s">
        <v>37</v>
      </c>
      <c r="S90" s="9" t="s">
        <v>789</v>
      </c>
      <c r="T90" s="9" t="s">
        <v>605</v>
      </c>
      <c r="U90" s="9" t="s">
        <v>120</v>
      </c>
      <c r="V90" s="9">
        <v>3</v>
      </c>
      <c r="Y90" s="2" t="s">
        <v>790</v>
      </c>
      <c r="Z90" s="17" t="s">
        <v>607</v>
      </c>
      <c r="AA90" s="18" t="s">
        <v>256</v>
      </c>
      <c r="AB90" s="18" t="s">
        <v>740</v>
      </c>
      <c r="AC90" s="18" t="s">
        <v>741</v>
      </c>
      <c r="AD90" s="18" t="s">
        <v>673</v>
      </c>
      <c r="AE90" s="18" t="s">
        <v>674</v>
      </c>
      <c r="AG90" s="23">
        <v>316</v>
      </c>
      <c r="AH90" s="23" t="s">
        <v>790</v>
      </c>
      <c r="AI90" s="23" t="s">
        <v>1642</v>
      </c>
      <c r="AJ90" s="23" t="s">
        <v>741</v>
      </c>
      <c r="AK90" s="23" t="s">
        <v>674</v>
      </c>
      <c r="AL90" s="23">
        <v>0.58489999999999998</v>
      </c>
      <c r="AM90" s="24">
        <f t="shared" si="2"/>
        <v>8547040.7576000001</v>
      </c>
      <c r="AN90" s="23"/>
      <c r="AO90" s="25">
        <v>1461282400</v>
      </c>
      <c r="AP90" s="23"/>
      <c r="AQ90" s="1" t="s">
        <v>27</v>
      </c>
      <c r="AR90" s="23"/>
      <c r="AS90" s="23"/>
      <c r="AT90" s="28">
        <v>6743818.2760000005</v>
      </c>
      <c r="AU90" s="28">
        <v>7548984.8783999989</v>
      </c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</row>
    <row r="91" spans="1:182" s="9" customFormat="1" x14ac:dyDescent="0.2">
      <c r="A91" s="2" t="s">
        <v>31</v>
      </c>
      <c r="B91" s="1" t="s">
        <v>791</v>
      </c>
      <c r="C91" s="1" t="s">
        <v>27</v>
      </c>
      <c r="D91" s="1" t="s">
        <v>28</v>
      </c>
      <c r="E91" s="8">
        <v>43370</v>
      </c>
      <c r="F91" s="9" t="s">
        <v>29</v>
      </c>
      <c r="G91" s="2" t="s">
        <v>792</v>
      </c>
      <c r="H91" s="2" t="s">
        <v>791</v>
      </c>
      <c r="I91" s="2" t="s">
        <v>793</v>
      </c>
      <c r="J91" s="2" t="s">
        <v>33</v>
      </c>
      <c r="K91" s="2">
        <v>386.16</v>
      </c>
      <c r="L91" s="16">
        <v>15446.400000000001</v>
      </c>
      <c r="M91" s="2" t="s">
        <v>794</v>
      </c>
      <c r="N91" s="2" t="s">
        <v>35</v>
      </c>
      <c r="O91" s="2">
        <v>29.36</v>
      </c>
      <c r="P91" s="9">
        <f t="shared" si="3"/>
        <v>1027.5999999999999</v>
      </c>
      <c r="Q91" s="2" t="s">
        <v>795</v>
      </c>
      <c r="R91" s="2" t="s">
        <v>37</v>
      </c>
      <c r="S91" s="9" t="s">
        <v>796</v>
      </c>
      <c r="T91" s="9" t="s">
        <v>605</v>
      </c>
      <c r="U91" s="9" t="s">
        <v>40</v>
      </c>
      <c r="V91" s="9">
        <v>4</v>
      </c>
      <c r="Y91" s="2" t="s">
        <v>797</v>
      </c>
      <c r="Z91" s="17" t="s">
        <v>607</v>
      </c>
      <c r="AA91" s="18" t="s">
        <v>264</v>
      </c>
      <c r="AB91" s="18" t="s">
        <v>798</v>
      </c>
      <c r="AC91" s="18" t="s">
        <v>799</v>
      </c>
      <c r="AD91" s="18" t="s">
        <v>610</v>
      </c>
      <c r="AE91" s="18" t="s">
        <v>611</v>
      </c>
      <c r="AG91" s="23">
        <v>317</v>
      </c>
      <c r="AH91" s="23" t="s">
        <v>797</v>
      </c>
      <c r="AI91" s="23" t="s">
        <v>1642</v>
      </c>
      <c r="AJ91" s="23" t="s">
        <v>799</v>
      </c>
      <c r="AK91" s="23" t="s">
        <v>611</v>
      </c>
      <c r="AL91" s="23">
        <v>0.5383</v>
      </c>
      <c r="AM91" s="24">
        <f t="shared" si="2"/>
        <v>7866083.1591999996</v>
      </c>
      <c r="AN91" s="23"/>
      <c r="AO91" s="25">
        <v>1461282400</v>
      </c>
      <c r="AP91" s="23"/>
      <c r="AQ91" s="1" t="s">
        <v>27</v>
      </c>
      <c r="AR91" s="23"/>
      <c r="AS91" s="23"/>
      <c r="AT91" s="28">
        <v>7940608.5615999997</v>
      </c>
      <c r="AU91" s="28">
        <v>7088680.9224000005</v>
      </c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</row>
    <row r="92" spans="1:182" s="9" customFormat="1" x14ac:dyDescent="0.2">
      <c r="A92" s="2" t="s">
        <v>31</v>
      </c>
      <c r="B92" s="1" t="s">
        <v>800</v>
      </c>
      <c r="C92" s="1" t="s">
        <v>27</v>
      </c>
      <c r="D92" s="1" t="s">
        <v>28</v>
      </c>
      <c r="E92" s="8">
        <v>43370</v>
      </c>
      <c r="F92" s="9" t="s">
        <v>29</v>
      </c>
      <c r="G92" s="2" t="s">
        <v>801</v>
      </c>
      <c r="H92" s="2" t="s">
        <v>800</v>
      </c>
      <c r="I92" s="2" t="s">
        <v>802</v>
      </c>
      <c r="J92" s="2" t="s">
        <v>33</v>
      </c>
      <c r="K92" s="2">
        <v>214.96</v>
      </c>
      <c r="L92" s="16">
        <v>8598.4</v>
      </c>
      <c r="M92" s="2" t="s">
        <v>803</v>
      </c>
      <c r="N92" s="2" t="s">
        <v>35</v>
      </c>
      <c r="O92" s="2">
        <v>26.24</v>
      </c>
      <c r="P92" s="9">
        <f t="shared" si="3"/>
        <v>918.4</v>
      </c>
      <c r="Q92" s="2" t="s">
        <v>804</v>
      </c>
      <c r="R92" s="2" t="s">
        <v>37</v>
      </c>
      <c r="S92" s="9" t="s">
        <v>805</v>
      </c>
      <c r="T92" s="9" t="s">
        <v>605</v>
      </c>
      <c r="U92" s="9" t="s">
        <v>54</v>
      </c>
      <c r="V92" s="9">
        <v>4</v>
      </c>
      <c r="Y92" s="2" t="s">
        <v>806</v>
      </c>
      <c r="Z92" s="17" t="s">
        <v>607</v>
      </c>
      <c r="AA92" s="18" t="s">
        <v>274</v>
      </c>
      <c r="AB92" s="18" t="s">
        <v>798</v>
      </c>
      <c r="AC92" s="18" t="s">
        <v>799</v>
      </c>
      <c r="AD92" s="18" t="s">
        <v>619</v>
      </c>
      <c r="AE92" s="18" t="s">
        <v>620</v>
      </c>
      <c r="AG92" s="23">
        <v>318</v>
      </c>
      <c r="AH92" s="23" t="s">
        <v>806</v>
      </c>
      <c r="AI92" s="23" t="s">
        <v>1642</v>
      </c>
      <c r="AJ92" s="23" t="s">
        <v>799</v>
      </c>
      <c r="AK92" s="23" t="s">
        <v>620</v>
      </c>
      <c r="AL92" s="23">
        <v>0.49519999999999997</v>
      </c>
      <c r="AM92" s="24">
        <f t="shared" si="2"/>
        <v>7236270.4448000006</v>
      </c>
      <c r="AN92" s="23"/>
      <c r="AO92" s="25">
        <v>1461282400</v>
      </c>
      <c r="AP92" s="23"/>
      <c r="AQ92" s="1" t="s">
        <v>27</v>
      </c>
      <c r="AR92" s="23"/>
      <c r="AS92" s="23"/>
      <c r="AT92" s="28">
        <v>7046303.7327999994</v>
      </c>
      <c r="AU92" s="28">
        <v>6976162.1776000001</v>
      </c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</row>
    <row r="93" spans="1:182" s="9" customFormat="1" x14ac:dyDescent="0.2">
      <c r="A93" s="2" t="s">
        <v>31</v>
      </c>
      <c r="B93" s="1" t="s">
        <v>807</v>
      </c>
      <c r="C93" s="1" t="s">
        <v>27</v>
      </c>
      <c r="D93" s="1" t="s">
        <v>28</v>
      </c>
      <c r="E93" s="8">
        <v>43370</v>
      </c>
      <c r="F93" s="9" t="s">
        <v>29</v>
      </c>
      <c r="G93" s="2" t="s">
        <v>808</v>
      </c>
      <c r="H93" s="2" t="s">
        <v>807</v>
      </c>
      <c r="I93" s="2" t="s">
        <v>809</v>
      </c>
      <c r="J93" s="2" t="s">
        <v>33</v>
      </c>
      <c r="K93" s="2">
        <v>258.72000000000003</v>
      </c>
      <c r="L93" s="16">
        <v>10348.800000000001</v>
      </c>
      <c r="M93" s="2" t="s">
        <v>810</v>
      </c>
      <c r="N93" s="2" t="s">
        <v>35</v>
      </c>
      <c r="O93" s="2">
        <v>29.12</v>
      </c>
      <c r="P93" s="9">
        <f t="shared" si="3"/>
        <v>1019.2</v>
      </c>
      <c r="Q93" s="2" t="s">
        <v>811</v>
      </c>
      <c r="R93" s="2" t="s">
        <v>37</v>
      </c>
      <c r="S93" s="9" t="s">
        <v>812</v>
      </c>
      <c r="T93" s="9" t="s">
        <v>605</v>
      </c>
      <c r="U93" s="9" t="s">
        <v>65</v>
      </c>
      <c r="V93" s="9">
        <v>4</v>
      </c>
      <c r="Y93" s="2" t="s">
        <v>813</v>
      </c>
      <c r="Z93" s="17" t="s">
        <v>607</v>
      </c>
      <c r="AA93" s="18" t="s">
        <v>282</v>
      </c>
      <c r="AB93" s="18" t="s">
        <v>798</v>
      </c>
      <c r="AC93" s="18" t="s">
        <v>799</v>
      </c>
      <c r="AD93" s="18" t="s">
        <v>628</v>
      </c>
      <c r="AE93" s="18" t="s">
        <v>629</v>
      </c>
      <c r="AG93" s="23">
        <v>319</v>
      </c>
      <c r="AH93" s="23" t="s">
        <v>813</v>
      </c>
      <c r="AI93" s="23" t="s">
        <v>1642</v>
      </c>
      <c r="AJ93" s="23" t="s">
        <v>799</v>
      </c>
      <c r="AK93" s="23" t="s">
        <v>629</v>
      </c>
      <c r="AL93" s="23">
        <v>0.43809999999999999</v>
      </c>
      <c r="AM93" s="24">
        <f t="shared" si="2"/>
        <v>6401878.1943999995</v>
      </c>
      <c r="AN93" s="23"/>
      <c r="AO93" s="25">
        <v>1461282400</v>
      </c>
      <c r="AP93" s="23"/>
      <c r="AQ93" s="1" t="s">
        <v>27</v>
      </c>
      <c r="AR93" s="23"/>
      <c r="AS93" s="23"/>
      <c r="AT93" s="28">
        <v>7582594.3736000005</v>
      </c>
      <c r="AU93" s="28">
        <v>8621566.1600000001</v>
      </c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</row>
    <row r="94" spans="1:182" ht="16" x14ac:dyDescent="0.2">
      <c r="A94" s="2" t="s">
        <v>31</v>
      </c>
      <c r="B94" s="1" t="s">
        <v>814</v>
      </c>
      <c r="C94" s="13" t="s">
        <v>350</v>
      </c>
      <c r="D94" s="1" t="s">
        <v>28</v>
      </c>
      <c r="E94" s="14">
        <v>43370</v>
      </c>
      <c r="F94" s="2" t="s">
        <v>29</v>
      </c>
      <c r="G94" s="2" t="s">
        <v>815</v>
      </c>
      <c r="H94" s="2" t="s">
        <v>814</v>
      </c>
      <c r="I94" s="2" t="s">
        <v>816</v>
      </c>
      <c r="J94" s="2" t="s">
        <v>353</v>
      </c>
      <c r="K94" s="2">
        <v>559.52</v>
      </c>
      <c r="L94" s="2">
        <v>11190.4</v>
      </c>
      <c r="M94" s="2" t="s">
        <v>817</v>
      </c>
      <c r="N94" s="2" t="s">
        <v>35</v>
      </c>
      <c r="O94" s="2">
        <v>31.6</v>
      </c>
      <c r="P94" s="9">
        <f t="shared" si="3"/>
        <v>1106</v>
      </c>
      <c r="Q94" s="2" t="s">
        <v>818</v>
      </c>
      <c r="R94" s="2" t="s">
        <v>37</v>
      </c>
      <c r="S94" s="9" t="s">
        <v>819</v>
      </c>
      <c r="T94" s="9" t="s">
        <v>605</v>
      </c>
      <c r="U94" s="9" t="s">
        <v>76</v>
      </c>
      <c r="V94" s="9">
        <v>4</v>
      </c>
      <c r="Y94" s="2" t="s">
        <v>820</v>
      </c>
      <c r="Z94" s="17" t="s">
        <v>607</v>
      </c>
      <c r="AA94" s="18" t="s">
        <v>290</v>
      </c>
      <c r="AB94" s="18" t="s">
        <v>798</v>
      </c>
      <c r="AC94" s="18" t="s">
        <v>799</v>
      </c>
      <c r="AD94" s="18" t="s">
        <v>637</v>
      </c>
      <c r="AE94" s="18" t="s">
        <v>638</v>
      </c>
      <c r="AG94" s="23">
        <v>320</v>
      </c>
      <c r="AH94" s="23" t="s">
        <v>820</v>
      </c>
      <c r="AI94" s="23" t="s">
        <v>1642</v>
      </c>
      <c r="AJ94" s="23" t="s">
        <v>799</v>
      </c>
      <c r="AK94" s="23" t="s">
        <v>638</v>
      </c>
      <c r="AL94" s="23">
        <v>0.55469999999999997</v>
      </c>
      <c r="AM94" s="24">
        <f t="shared" si="2"/>
        <v>8105733.4727999996</v>
      </c>
      <c r="AN94" s="23"/>
      <c r="AO94" s="25">
        <v>1461282400</v>
      </c>
      <c r="AP94" s="23"/>
      <c r="AQ94" s="13" t="s">
        <v>350</v>
      </c>
      <c r="AR94" s="23"/>
      <c r="AS94" s="23"/>
      <c r="AT94" s="28">
        <v>6993697.5663999999</v>
      </c>
      <c r="AU94" s="28">
        <v>7278647.6343999989</v>
      </c>
    </row>
    <row r="95" spans="1:182" ht="16" x14ac:dyDescent="0.2">
      <c r="A95" s="2" t="s">
        <v>31</v>
      </c>
      <c r="B95" s="1" t="s">
        <v>821</v>
      </c>
      <c r="C95" s="13" t="s">
        <v>350</v>
      </c>
      <c r="D95" s="1" t="s">
        <v>28</v>
      </c>
      <c r="E95" s="14">
        <v>43370</v>
      </c>
      <c r="F95" s="2" t="s">
        <v>29</v>
      </c>
      <c r="G95" s="2" t="s">
        <v>822</v>
      </c>
      <c r="H95" s="2" t="s">
        <v>821</v>
      </c>
      <c r="I95" s="2" t="s">
        <v>823</v>
      </c>
      <c r="J95" s="2" t="s">
        <v>353</v>
      </c>
      <c r="K95" s="2">
        <v>592</v>
      </c>
      <c r="L95" s="2">
        <v>11840</v>
      </c>
      <c r="M95" s="2" t="s">
        <v>824</v>
      </c>
      <c r="N95" s="2" t="s">
        <v>35</v>
      </c>
      <c r="O95" s="2">
        <v>28.4</v>
      </c>
      <c r="P95" s="9">
        <f t="shared" si="3"/>
        <v>994</v>
      </c>
      <c r="Q95" s="2" t="s">
        <v>825</v>
      </c>
      <c r="R95" s="2" t="s">
        <v>37</v>
      </c>
      <c r="S95" s="9" t="s">
        <v>826</v>
      </c>
      <c r="T95" s="9" t="s">
        <v>605</v>
      </c>
      <c r="U95" s="9" t="s">
        <v>87</v>
      </c>
      <c r="V95" s="9">
        <v>4</v>
      </c>
      <c r="Y95" s="2" t="s">
        <v>827</v>
      </c>
      <c r="Z95" s="17" t="s">
        <v>607</v>
      </c>
      <c r="AA95" s="18" t="s">
        <v>298</v>
      </c>
      <c r="AB95" s="18" t="s">
        <v>798</v>
      </c>
      <c r="AC95" s="18" t="s">
        <v>799</v>
      </c>
      <c r="AD95" s="18" t="s">
        <v>646</v>
      </c>
      <c r="AE95" s="18" t="s">
        <v>647</v>
      </c>
      <c r="AG95" s="23">
        <v>321</v>
      </c>
      <c r="AH95" s="23" t="s">
        <v>827</v>
      </c>
      <c r="AI95" s="23" t="s">
        <v>1642</v>
      </c>
      <c r="AJ95" s="23" t="s">
        <v>799</v>
      </c>
      <c r="AK95" s="23" t="s">
        <v>647</v>
      </c>
      <c r="AL95" s="23">
        <v>0.65349999999999997</v>
      </c>
      <c r="AM95" s="24">
        <f t="shared" si="2"/>
        <v>9549480.4839999992</v>
      </c>
      <c r="AN95" s="23"/>
      <c r="AO95" s="25">
        <v>1461282400</v>
      </c>
      <c r="AP95" s="23"/>
      <c r="AQ95" s="13" t="s">
        <v>350</v>
      </c>
      <c r="AR95" s="23"/>
      <c r="AS95" s="23"/>
      <c r="AT95" s="28">
        <v>8662482.0671999995</v>
      </c>
      <c r="AU95" s="28">
        <v>6854875.7384000001</v>
      </c>
    </row>
    <row r="96" spans="1:182" ht="16" x14ac:dyDescent="0.2">
      <c r="A96" s="2" t="s">
        <v>31</v>
      </c>
      <c r="B96" s="1" t="s">
        <v>828</v>
      </c>
      <c r="C96" s="13" t="s">
        <v>350</v>
      </c>
      <c r="D96" s="1" t="s">
        <v>28</v>
      </c>
      <c r="E96" s="14">
        <v>43370</v>
      </c>
      <c r="F96" s="2" t="s">
        <v>29</v>
      </c>
      <c r="G96" s="2" t="s">
        <v>829</v>
      </c>
      <c r="H96" s="2" t="s">
        <v>828</v>
      </c>
      <c r="I96" s="2" t="s">
        <v>830</v>
      </c>
      <c r="J96" s="2" t="s">
        <v>353</v>
      </c>
      <c r="K96" s="2">
        <v>359.04</v>
      </c>
      <c r="L96" s="2">
        <v>7180.8</v>
      </c>
      <c r="M96" s="2" t="s">
        <v>831</v>
      </c>
      <c r="N96" s="2" t="s">
        <v>35</v>
      </c>
      <c r="O96" s="2">
        <v>28</v>
      </c>
      <c r="P96" s="9">
        <f t="shared" si="3"/>
        <v>980</v>
      </c>
      <c r="Q96" s="2" t="s">
        <v>832</v>
      </c>
      <c r="R96" s="2" t="s">
        <v>37</v>
      </c>
      <c r="S96" s="9" t="s">
        <v>833</v>
      </c>
      <c r="T96" s="9" t="s">
        <v>605</v>
      </c>
      <c r="U96" s="9" t="s">
        <v>98</v>
      </c>
      <c r="V96" s="9">
        <v>4</v>
      </c>
      <c r="Y96" s="2" t="s">
        <v>834</v>
      </c>
      <c r="Z96" s="17" t="s">
        <v>607</v>
      </c>
      <c r="AA96" s="18" t="s">
        <v>306</v>
      </c>
      <c r="AB96" s="18" t="s">
        <v>798</v>
      </c>
      <c r="AC96" s="18" t="s">
        <v>799</v>
      </c>
      <c r="AD96" s="18" t="s">
        <v>655</v>
      </c>
      <c r="AE96" s="18" t="s">
        <v>656</v>
      </c>
      <c r="AG96" s="23">
        <v>322</v>
      </c>
      <c r="AH96" s="23" t="s">
        <v>834</v>
      </c>
      <c r="AI96" s="23" t="s">
        <v>1642</v>
      </c>
      <c r="AJ96" s="23" t="s">
        <v>799</v>
      </c>
      <c r="AK96" s="23" t="s">
        <v>656</v>
      </c>
      <c r="AL96" s="23">
        <v>0.60189999999999999</v>
      </c>
      <c r="AM96" s="24">
        <f t="shared" si="2"/>
        <v>8795458.7655999996</v>
      </c>
      <c r="AN96" s="23"/>
      <c r="AO96" s="25">
        <v>1461282400</v>
      </c>
      <c r="AP96" s="23"/>
      <c r="AQ96" s="13" t="s">
        <v>350</v>
      </c>
      <c r="AR96" s="23"/>
      <c r="AS96" s="23"/>
      <c r="AT96" s="28"/>
      <c r="AU96" s="28">
        <v>8905054.9456000011</v>
      </c>
    </row>
    <row r="97" spans="1:47" ht="16" x14ac:dyDescent="0.2">
      <c r="A97" s="2" t="s">
        <v>31</v>
      </c>
      <c r="B97" s="1" t="s">
        <v>835</v>
      </c>
      <c r="C97" s="13" t="s">
        <v>350</v>
      </c>
      <c r="D97" s="1" t="s">
        <v>28</v>
      </c>
      <c r="E97" s="14">
        <v>43370</v>
      </c>
      <c r="F97" s="2" t="s">
        <v>29</v>
      </c>
      <c r="G97" s="2" t="s">
        <v>836</v>
      </c>
      <c r="H97" s="2" t="s">
        <v>835</v>
      </c>
      <c r="I97" s="2" t="s">
        <v>837</v>
      </c>
      <c r="J97" s="2" t="s">
        <v>353</v>
      </c>
      <c r="K97" s="2">
        <v>498.16</v>
      </c>
      <c r="L97" s="2">
        <v>9963.2000000000007</v>
      </c>
      <c r="M97" s="2" t="s">
        <v>838</v>
      </c>
      <c r="N97" s="2" t="s">
        <v>35</v>
      </c>
      <c r="O97" s="2">
        <v>29.12</v>
      </c>
      <c r="P97" s="9">
        <f t="shared" si="3"/>
        <v>1019.2</v>
      </c>
      <c r="Q97" s="2" t="s">
        <v>839</v>
      </c>
      <c r="R97" s="2" t="s">
        <v>37</v>
      </c>
      <c r="S97" s="9" t="s">
        <v>840</v>
      </c>
      <c r="T97" s="9" t="s">
        <v>605</v>
      </c>
      <c r="U97" s="9" t="s">
        <v>109</v>
      </c>
      <c r="V97" s="9">
        <v>4</v>
      </c>
      <c r="W97" s="2">
        <v>19.7</v>
      </c>
      <c r="X97" s="2">
        <v>0.28999999999999998</v>
      </c>
      <c r="Y97" s="2" t="s">
        <v>841</v>
      </c>
      <c r="Z97" s="17" t="s">
        <v>607</v>
      </c>
      <c r="AA97" s="18" t="s">
        <v>314</v>
      </c>
      <c r="AB97" s="18" t="s">
        <v>798</v>
      </c>
      <c r="AC97" s="18" t="s">
        <v>799</v>
      </c>
      <c r="AD97" s="18" t="s">
        <v>664</v>
      </c>
      <c r="AE97" s="18" t="s">
        <v>665</v>
      </c>
      <c r="AG97" s="23">
        <v>323</v>
      </c>
      <c r="AH97" s="23" t="s">
        <v>841</v>
      </c>
      <c r="AI97" s="23" t="s">
        <v>1642</v>
      </c>
      <c r="AJ97" s="23" t="s">
        <v>799</v>
      </c>
      <c r="AK97" s="23" t="s">
        <v>665</v>
      </c>
      <c r="AL97" s="23">
        <v>0.44019999999999998</v>
      </c>
      <c r="AM97" s="24">
        <f t="shared" si="2"/>
        <v>6432565.1248000003</v>
      </c>
      <c r="AN97" s="23"/>
      <c r="AO97" s="25">
        <v>1461282400</v>
      </c>
      <c r="AP97" s="23"/>
      <c r="AQ97" s="13" t="s">
        <v>350</v>
      </c>
      <c r="AR97" s="23"/>
      <c r="AS97" s="23"/>
      <c r="AT97" s="28"/>
      <c r="AU97" s="28">
        <v>8114501.1672</v>
      </c>
    </row>
    <row r="98" spans="1:47" ht="16" x14ac:dyDescent="0.2">
      <c r="A98" s="2" t="s">
        <v>31</v>
      </c>
      <c r="B98" s="1" t="s">
        <v>842</v>
      </c>
      <c r="C98" s="13" t="s">
        <v>350</v>
      </c>
      <c r="D98" s="1" t="s">
        <v>28</v>
      </c>
      <c r="E98" s="14">
        <v>43370</v>
      </c>
      <c r="F98" s="2" t="s">
        <v>29</v>
      </c>
      <c r="G98" s="2" t="s">
        <v>843</v>
      </c>
      <c r="H98" s="2" t="s">
        <v>842</v>
      </c>
      <c r="I98" s="2" t="s">
        <v>844</v>
      </c>
      <c r="J98" s="2" t="s">
        <v>353</v>
      </c>
      <c r="K98" s="2">
        <v>887.68</v>
      </c>
      <c r="L98" s="2">
        <v>17753.599999999999</v>
      </c>
      <c r="M98" s="2" t="s">
        <v>845</v>
      </c>
      <c r="N98" s="2" t="s">
        <v>35</v>
      </c>
      <c r="O98" s="2">
        <v>30.24</v>
      </c>
      <c r="P98" s="9">
        <f t="shared" si="3"/>
        <v>1058.3999999999999</v>
      </c>
      <c r="Q98" s="2" t="s">
        <v>846</v>
      </c>
      <c r="R98" s="2" t="s">
        <v>37</v>
      </c>
      <c r="S98" s="9" t="s">
        <v>847</v>
      </c>
      <c r="T98" s="9" t="s">
        <v>605</v>
      </c>
      <c r="U98" s="9" t="s">
        <v>120</v>
      </c>
      <c r="V98" s="9">
        <v>4</v>
      </c>
      <c r="Y98" s="2" t="s">
        <v>848</v>
      </c>
      <c r="Z98" s="17" t="s">
        <v>607</v>
      </c>
      <c r="AA98" s="18" t="s">
        <v>322</v>
      </c>
      <c r="AB98" s="18" t="s">
        <v>798</v>
      </c>
      <c r="AC98" s="18" t="s">
        <v>799</v>
      </c>
      <c r="AD98" s="18" t="s">
        <v>673</v>
      </c>
      <c r="AE98" s="18" t="s">
        <v>674</v>
      </c>
      <c r="AG98" s="23">
        <v>324</v>
      </c>
      <c r="AH98" s="23" t="s">
        <v>848</v>
      </c>
      <c r="AI98" s="23" t="s">
        <v>1642</v>
      </c>
      <c r="AJ98" s="23" t="s">
        <v>799</v>
      </c>
      <c r="AK98" s="23" t="s">
        <v>674</v>
      </c>
      <c r="AL98" s="23">
        <v>0.71579999999999999</v>
      </c>
      <c r="AM98" s="24">
        <f t="shared" si="2"/>
        <v>10459859.419199999</v>
      </c>
      <c r="AN98" s="23"/>
      <c r="AO98" s="25">
        <v>1461282400</v>
      </c>
      <c r="AP98" s="23"/>
      <c r="AQ98" s="13" t="s">
        <v>350</v>
      </c>
      <c r="AR98" s="23"/>
      <c r="AS98" s="23"/>
      <c r="AT98" s="28"/>
      <c r="AU98" s="28">
        <v>6007331.9463999998</v>
      </c>
    </row>
    <row r="99" spans="1:47" ht="16" x14ac:dyDescent="0.2">
      <c r="A99" s="2" t="s">
        <v>31</v>
      </c>
      <c r="B99" s="1" t="s">
        <v>849</v>
      </c>
      <c r="C99" s="13" t="s">
        <v>350</v>
      </c>
      <c r="D99" s="1" t="s">
        <v>28</v>
      </c>
      <c r="E99" s="14">
        <v>43370</v>
      </c>
      <c r="F99" s="2" t="s">
        <v>29</v>
      </c>
      <c r="G99" s="2" t="s">
        <v>850</v>
      </c>
      <c r="H99" s="2" t="s">
        <v>849</v>
      </c>
      <c r="I99" s="2" t="s">
        <v>851</v>
      </c>
      <c r="J99" s="2" t="s">
        <v>353</v>
      </c>
      <c r="K99" s="2">
        <v>640.4</v>
      </c>
      <c r="L99" s="2">
        <v>12808</v>
      </c>
      <c r="M99" s="2" t="s">
        <v>852</v>
      </c>
      <c r="N99" s="2" t="s">
        <v>35</v>
      </c>
      <c r="O99" s="2">
        <v>27.84</v>
      </c>
      <c r="P99" s="9">
        <f t="shared" si="3"/>
        <v>974.4</v>
      </c>
      <c r="Q99" s="2" t="s">
        <v>853</v>
      </c>
      <c r="R99" s="2" t="s">
        <v>37</v>
      </c>
      <c r="S99" s="9" t="s">
        <v>854</v>
      </c>
      <c r="T99" s="9" t="s">
        <v>605</v>
      </c>
      <c r="U99" s="9" t="s">
        <v>40</v>
      </c>
      <c r="V99" s="9">
        <v>5</v>
      </c>
      <c r="Y99" s="2" t="s">
        <v>855</v>
      </c>
      <c r="Z99" s="17" t="s">
        <v>607</v>
      </c>
      <c r="AA99" s="18" t="s">
        <v>330</v>
      </c>
      <c r="AB99" s="18" t="s">
        <v>856</v>
      </c>
      <c r="AC99" s="18" t="s">
        <v>857</v>
      </c>
      <c r="AD99" s="18" t="s">
        <v>610</v>
      </c>
      <c r="AE99" s="18" t="s">
        <v>611</v>
      </c>
      <c r="AG99" s="23">
        <v>325</v>
      </c>
      <c r="AH99" s="23" t="s">
        <v>855</v>
      </c>
      <c r="AI99" s="23" t="s">
        <v>1642</v>
      </c>
      <c r="AJ99" s="23" t="s">
        <v>857</v>
      </c>
      <c r="AK99" s="23" t="s">
        <v>611</v>
      </c>
      <c r="AL99" s="23">
        <v>0.49320000000000003</v>
      </c>
      <c r="AM99" s="24">
        <f t="shared" si="2"/>
        <v>7207044.7968000006</v>
      </c>
      <c r="AN99" s="23"/>
      <c r="AO99" s="25">
        <v>1461282400</v>
      </c>
      <c r="AP99" s="23"/>
      <c r="AQ99" s="13" t="s">
        <v>350</v>
      </c>
      <c r="AR99" s="23"/>
      <c r="AS99" s="23"/>
      <c r="AT99" s="28"/>
      <c r="AU99" s="28">
        <v>7078451.9455999993</v>
      </c>
    </row>
    <row r="100" spans="1:47" ht="16" x14ac:dyDescent="0.2">
      <c r="A100" s="2" t="s">
        <v>31</v>
      </c>
      <c r="B100" s="1" t="s">
        <v>858</v>
      </c>
      <c r="C100" s="13" t="s">
        <v>350</v>
      </c>
      <c r="D100" s="1" t="s">
        <v>28</v>
      </c>
      <c r="E100" s="14">
        <v>43370</v>
      </c>
      <c r="F100" s="2" t="s">
        <v>29</v>
      </c>
      <c r="G100" s="2" t="s">
        <v>859</v>
      </c>
      <c r="H100" s="2" t="s">
        <v>858</v>
      </c>
      <c r="I100" s="2" t="s">
        <v>860</v>
      </c>
      <c r="J100" s="2" t="s">
        <v>353</v>
      </c>
      <c r="K100" s="2">
        <v>918.88</v>
      </c>
      <c r="L100" s="2">
        <v>18377.599999999999</v>
      </c>
      <c r="M100" s="2" t="s">
        <v>861</v>
      </c>
      <c r="N100" s="2" t="s">
        <v>35</v>
      </c>
      <c r="O100" s="2">
        <v>29.68</v>
      </c>
      <c r="P100" s="9">
        <f t="shared" si="3"/>
        <v>1038.8</v>
      </c>
      <c r="Q100" s="2" t="s">
        <v>862</v>
      </c>
      <c r="R100" s="2" t="s">
        <v>37</v>
      </c>
      <c r="S100" s="9" t="s">
        <v>863</v>
      </c>
      <c r="T100" s="9" t="s">
        <v>605</v>
      </c>
      <c r="U100" s="9" t="s">
        <v>54</v>
      </c>
      <c r="V100" s="9">
        <v>5</v>
      </c>
      <c r="Y100" s="2" t="s">
        <v>864</v>
      </c>
      <c r="Z100" s="17" t="s">
        <v>607</v>
      </c>
      <c r="AA100" s="18" t="s">
        <v>340</v>
      </c>
      <c r="AB100" s="18" t="s">
        <v>856</v>
      </c>
      <c r="AC100" s="18" t="s">
        <v>857</v>
      </c>
      <c r="AD100" s="18" t="s">
        <v>619</v>
      </c>
      <c r="AE100" s="18" t="s">
        <v>620</v>
      </c>
      <c r="AG100" s="23">
        <v>326</v>
      </c>
      <c r="AH100" s="23" t="s">
        <v>864</v>
      </c>
      <c r="AI100" s="23" t="s">
        <v>1642</v>
      </c>
      <c r="AJ100" s="23" t="s">
        <v>857</v>
      </c>
      <c r="AK100" s="23" t="s">
        <v>620</v>
      </c>
      <c r="AL100" s="23">
        <v>0.5353</v>
      </c>
      <c r="AM100" s="24">
        <f t="shared" si="2"/>
        <v>7822244.6872000005</v>
      </c>
      <c r="AN100" s="23"/>
      <c r="AO100" s="25">
        <v>1461282400</v>
      </c>
      <c r="AP100" s="23"/>
      <c r="AQ100" s="13" t="s">
        <v>350</v>
      </c>
      <c r="AR100" s="23"/>
      <c r="AS100" s="23"/>
      <c r="AT100" s="28"/>
      <c r="AU100" s="28">
        <v>8136420.4031999996</v>
      </c>
    </row>
    <row r="101" spans="1:47" ht="16" x14ac:dyDescent="0.2">
      <c r="A101" s="2" t="s">
        <v>31</v>
      </c>
      <c r="B101" s="1" t="s">
        <v>865</v>
      </c>
      <c r="C101" s="13" t="s">
        <v>350</v>
      </c>
      <c r="D101" s="1" t="s">
        <v>28</v>
      </c>
      <c r="E101" s="14">
        <v>43370</v>
      </c>
      <c r="F101" s="2" t="s">
        <v>29</v>
      </c>
      <c r="G101" s="2" t="s">
        <v>866</v>
      </c>
      <c r="H101" s="2" t="s">
        <v>865</v>
      </c>
      <c r="I101" s="2" t="s">
        <v>867</v>
      </c>
      <c r="J101" s="2" t="s">
        <v>353</v>
      </c>
      <c r="K101" s="2">
        <v>623.6</v>
      </c>
      <c r="L101" s="2">
        <v>12472</v>
      </c>
      <c r="M101" s="2" t="s">
        <v>868</v>
      </c>
      <c r="N101" s="2" t="s">
        <v>35</v>
      </c>
      <c r="O101" s="2">
        <v>32.08</v>
      </c>
      <c r="P101" s="9">
        <f t="shared" si="3"/>
        <v>1122.8</v>
      </c>
      <c r="Q101" s="2" t="s">
        <v>869</v>
      </c>
      <c r="R101" s="2" t="s">
        <v>37</v>
      </c>
      <c r="S101" s="9" t="s">
        <v>870</v>
      </c>
      <c r="T101" s="9" t="s">
        <v>605</v>
      </c>
      <c r="U101" s="9" t="s">
        <v>65</v>
      </c>
      <c r="V101" s="9">
        <v>5</v>
      </c>
      <c r="Y101" s="2" t="s">
        <v>871</v>
      </c>
      <c r="Z101" s="17" t="s">
        <v>607</v>
      </c>
      <c r="AA101" s="18" t="s">
        <v>348</v>
      </c>
      <c r="AB101" s="18" t="s">
        <v>856</v>
      </c>
      <c r="AC101" s="18" t="s">
        <v>857</v>
      </c>
      <c r="AD101" s="18" t="s">
        <v>628</v>
      </c>
      <c r="AE101" s="18" t="s">
        <v>629</v>
      </c>
      <c r="AG101" s="23">
        <v>327</v>
      </c>
      <c r="AH101" s="23" t="s">
        <v>871</v>
      </c>
      <c r="AI101" s="23" t="s">
        <v>1642</v>
      </c>
      <c r="AJ101" s="23" t="s">
        <v>857</v>
      </c>
      <c r="AK101" s="23" t="s">
        <v>629</v>
      </c>
      <c r="AL101" s="23">
        <v>0.54679999999999995</v>
      </c>
      <c r="AM101" s="24">
        <f t="shared" si="2"/>
        <v>7990292.1631999994</v>
      </c>
      <c r="AN101" s="23"/>
      <c r="AO101" s="25">
        <v>1461282400</v>
      </c>
      <c r="AP101" s="23"/>
      <c r="AQ101" s="13" t="s">
        <v>350</v>
      </c>
      <c r="AR101" s="23"/>
      <c r="AS101" s="23"/>
      <c r="AT101" s="28"/>
      <c r="AU101" s="28">
        <v>7709725.9423999991</v>
      </c>
    </row>
    <row r="102" spans="1:47" ht="16" x14ac:dyDescent="0.2">
      <c r="A102" s="2" t="s">
        <v>31</v>
      </c>
      <c r="B102" s="1" t="s">
        <v>872</v>
      </c>
      <c r="C102" s="13" t="s">
        <v>350</v>
      </c>
      <c r="D102" s="1" t="s">
        <v>28</v>
      </c>
      <c r="E102" s="14">
        <v>43370</v>
      </c>
      <c r="F102" s="2" t="s">
        <v>29</v>
      </c>
      <c r="G102" s="2" t="s">
        <v>873</v>
      </c>
      <c r="H102" s="2" t="s">
        <v>872</v>
      </c>
      <c r="I102" s="2" t="s">
        <v>874</v>
      </c>
      <c r="J102" s="2" t="s">
        <v>353</v>
      </c>
      <c r="K102" s="2">
        <v>520.96</v>
      </c>
      <c r="L102" s="2">
        <v>10419.200000000001</v>
      </c>
      <c r="M102" s="2" t="s">
        <v>875</v>
      </c>
      <c r="N102" s="2" t="s">
        <v>35</v>
      </c>
      <c r="O102" s="2">
        <v>29.12</v>
      </c>
      <c r="P102" s="9">
        <f t="shared" si="3"/>
        <v>1019.2</v>
      </c>
      <c r="Q102" s="2" t="s">
        <v>876</v>
      </c>
      <c r="R102" s="2" t="s">
        <v>37</v>
      </c>
      <c r="S102" s="9" t="s">
        <v>877</v>
      </c>
      <c r="T102" s="9" t="s">
        <v>605</v>
      </c>
      <c r="U102" s="9" t="s">
        <v>76</v>
      </c>
      <c r="V102" s="9">
        <v>5</v>
      </c>
      <c r="Y102" s="2" t="s">
        <v>878</v>
      </c>
      <c r="Z102" s="17" t="s">
        <v>607</v>
      </c>
      <c r="AA102" s="18" t="s">
        <v>358</v>
      </c>
      <c r="AB102" s="18" t="s">
        <v>856</v>
      </c>
      <c r="AC102" s="18" t="s">
        <v>857</v>
      </c>
      <c r="AD102" s="18" t="s">
        <v>637</v>
      </c>
      <c r="AE102" s="18" t="s">
        <v>638</v>
      </c>
      <c r="AG102" s="23">
        <v>328</v>
      </c>
      <c r="AH102" s="23" t="s">
        <v>878</v>
      </c>
      <c r="AI102" s="23" t="s">
        <v>1642</v>
      </c>
      <c r="AJ102" s="23" t="s">
        <v>857</v>
      </c>
      <c r="AK102" s="23" t="s">
        <v>638</v>
      </c>
      <c r="AL102" s="23">
        <v>0.59409999999999996</v>
      </c>
      <c r="AM102" s="24">
        <f t="shared" si="2"/>
        <v>8681478.7383999992</v>
      </c>
      <c r="AN102" s="23"/>
      <c r="AO102" s="25">
        <v>1461282400</v>
      </c>
      <c r="AP102" s="23"/>
      <c r="AQ102" s="13" t="s">
        <v>350</v>
      </c>
      <c r="AR102" s="23"/>
      <c r="AS102" s="23"/>
      <c r="AT102" s="28"/>
      <c r="AU102" s="28">
        <v>9000038.3015999999</v>
      </c>
    </row>
    <row r="103" spans="1:47" ht="16" x14ac:dyDescent="0.2">
      <c r="A103" s="2" t="s">
        <v>31</v>
      </c>
      <c r="B103" s="1" t="s">
        <v>879</v>
      </c>
      <c r="C103" s="13" t="s">
        <v>350</v>
      </c>
      <c r="D103" s="1" t="s">
        <v>28</v>
      </c>
      <c r="E103" s="14">
        <v>43370</v>
      </c>
      <c r="F103" s="2" t="s">
        <v>29</v>
      </c>
      <c r="G103" s="2" t="s">
        <v>880</v>
      </c>
      <c r="H103" s="2" t="s">
        <v>879</v>
      </c>
      <c r="I103" s="2" t="s">
        <v>881</v>
      </c>
      <c r="J103" s="2" t="s">
        <v>353</v>
      </c>
      <c r="K103" s="2">
        <v>314.39999999999998</v>
      </c>
      <c r="L103" s="2">
        <v>6288</v>
      </c>
      <c r="M103" s="2" t="s">
        <v>882</v>
      </c>
      <c r="N103" s="2" t="s">
        <v>35</v>
      </c>
      <c r="O103" s="2">
        <v>28.24</v>
      </c>
      <c r="P103" s="9">
        <f t="shared" si="3"/>
        <v>988.4</v>
      </c>
      <c r="Q103" s="2" t="s">
        <v>883</v>
      </c>
      <c r="R103" s="2" t="s">
        <v>37</v>
      </c>
      <c r="S103" s="9" t="s">
        <v>884</v>
      </c>
      <c r="T103" s="9" t="s">
        <v>605</v>
      </c>
      <c r="U103" s="9" t="s">
        <v>87</v>
      </c>
      <c r="V103" s="9">
        <v>5</v>
      </c>
      <c r="Y103" s="2" t="s">
        <v>885</v>
      </c>
      <c r="Z103" s="17" t="s">
        <v>607</v>
      </c>
      <c r="AA103" s="18" t="s">
        <v>366</v>
      </c>
      <c r="AB103" s="18" t="s">
        <v>856</v>
      </c>
      <c r="AC103" s="18" t="s">
        <v>857</v>
      </c>
      <c r="AD103" s="18" t="s">
        <v>646</v>
      </c>
      <c r="AE103" s="18" t="s">
        <v>647</v>
      </c>
      <c r="AG103" s="23">
        <v>329</v>
      </c>
      <c r="AH103" s="23" t="s">
        <v>885</v>
      </c>
      <c r="AI103" s="23" t="s">
        <v>1642</v>
      </c>
      <c r="AJ103" s="23" t="s">
        <v>857</v>
      </c>
      <c r="AK103" s="23" t="s">
        <v>647</v>
      </c>
      <c r="AL103" s="23">
        <v>0.58709999999999996</v>
      </c>
      <c r="AM103" s="24">
        <f t="shared" si="2"/>
        <v>8579188.9704</v>
      </c>
      <c r="AN103" s="23"/>
      <c r="AO103" s="25">
        <v>1461282400</v>
      </c>
      <c r="AP103" s="23"/>
      <c r="AQ103" s="13" t="s">
        <v>350</v>
      </c>
      <c r="AR103" s="23"/>
      <c r="AS103" s="23"/>
      <c r="AT103" s="28"/>
      <c r="AU103" s="28">
        <v>8202178.1112000002</v>
      </c>
    </row>
    <row r="104" spans="1:47" ht="16" x14ac:dyDescent="0.2">
      <c r="A104" s="2" t="s">
        <v>31</v>
      </c>
      <c r="B104" s="1" t="s">
        <v>886</v>
      </c>
      <c r="C104" s="13" t="s">
        <v>350</v>
      </c>
      <c r="D104" s="1" t="s">
        <v>28</v>
      </c>
      <c r="E104" s="14">
        <v>43370</v>
      </c>
      <c r="F104" s="2" t="s">
        <v>29</v>
      </c>
      <c r="G104" s="2" t="s">
        <v>887</v>
      </c>
      <c r="H104" s="2" t="s">
        <v>886</v>
      </c>
      <c r="I104" s="2" t="s">
        <v>888</v>
      </c>
      <c r="J104" s="2" t="s">
        <v>353</v>
      </c>
      <c r="K104" s="2">
        <v>330.32</v>
      </c>
      <c r="L104" s="2">
        <v>6606.4</v>
      </c>
      <c r="M104" s="2" t="s">
        <v>889</v>
      </c>
      <c r="N104" s="2" t="s">
        <v>35</v>
      </c>
      <c r="O104" s="2">
        <v>27.44</v>
      </c>
      <c r="P104" s="9">
        <f t="shared" si="3"/>
        <v>960.40000000000009</v>
      </c>
      <c r="Q104" s="2" t="s">
        <v>890</v>
      </c>
      <c r="R104" s="2" t="s">
        <v>37</v>
      </c>
      <c r="S104" s="9" t="s">
        <v>891</v>
      </c>
      <c r="T104" s="9" t="s">
        <v>605</v>
      </c>
      <c r="U104" s="9" t="s">
        <v>98</v>
      </c>
      <c r="V104" s="9">
        <v>5</v>
      </c>
      <c r="Y104" s="2" t="s">
        <v>892</v>
      </c>
      <c r="Z104" s="17" t="s">
        <v>607</v>
      </c>
      <c r="AA104" s="18" t="s">
        <v>374</v>
      </c>
      <c r="AB104" s="18" t="s">
        <v>856</v>
      </c>
      <c r="AC104" s="18" t="s">
        <v>857</v>
      </c>
      <c r="AD104" s="18" t="s">
        <v>655</v>
      </c>
      <c r="AE104" s="18" t="s">
        <v>656</v>
      </c>
      <c r="AG104" s="23">
        <v>330</v>
      </c>
      <c r="AH104" s="23" t="s">
        <v>892</v>
      </c>
      <c r="AI104" s="23" t="s">
        <v>1642</v>
      </c>
      <c r="AJ104" s="23" t="s">
        <v>857</v>
      </c>
      <c r="AK104" s="23" t="s">
        <v>656</v>
      </c>
      <c r="AL104" s="23">
        <v>0.55579999999999996</v>
      </c>
      <c r="AM104" s="24">
        <f t="shared" si="2"/>
        <v>8121807.5791999996</v>
      </c>
      <c r="AN104" s="23"/>
      <c r="AO104" s="25">
        <v>1461282400</v>
      </c>
      <c r="AP104" s="23"/>
      <c r="AQ104" s="13" t="s">
        <v>350</v>
      </c>
      <c r="AR104" s="23"/>
      <c r="AS104" s="23"/>
      <c r="AT104" s="28"/>
      <c r="AU104" s="28">
        <v>9906033.3895999994</v>
      </c>
    </row>
    <row r="105" spans="1:47" ht="16" x14ac:dyDescent="0.2">
      <c r="A105" s="2" t="s">
        <v>31</v>
      </c>
      <c r="B105" s="1" t="s">
        <v>893</v>
      </c>
      <c r="C105" s="13" t="s">
        <v>350</v>
      </c>
      <c r="D105" s="1" t="s">
        <v>28</v>
      </c>
      <c r="E105" s="14">
        <v>43370</v>
      </c>
      <c r="F105" s="2" t="s">
        <v>29</v>
      </c>
      <c r="G105" s="2" t="s">
        <v>894</v>
      </c>
      <c r="H105" s="2" t="s">
        <v>893</v>
      </c>
      <c r="I105" s="2" t="s">
        <v>895</v>
      </c>
      <c r="J105" s="2" t="s">
        <v>353</v>
      </c>
      <c r="K105" s="2">
        <v>478.96</v>
      </c>
      <c r="L105" s="2">
        <v>9579.1999999999989</v>
      </c>
      <c r="M105" s="2" t="s">
        <v>896</v>
      </c>
      <c r="N105" s="2" t="s">
        <v>35</v>
      </c>
      <c r="O105" s="2">
        <v>30</v>
      </c>
      <c r="P105" s="9">
        <f t="shared" si="3"/>
        <v>1050</v>
      </c>
      <c r="Q105" s="2" t="s">
        <v>897</v>
      </c>
      <c r="R105" s="2" t="s">
        <v>37</v>
      </c>
      <c r="S105" s="9" t="s">
        <v>898</v>
      </c>
      <c r="T105" s="9" t="s">
        <v>605</v>
      </c>
      <c r="U105" s="9" t="s">
        <v>109</v>
      </c>
      <c r="V105" s="9">
        <v>5</v>
      </c>
      <c r="Y105" s="2" t="s">
        <v>899</v>
      </c>
      <c r="Z105" s="17" t="s">
        <v>607</v>
      </c>
      <c r="AA105" s="18" t="s">
        <v>382</v>
      </c>
      <c r="AB105" s="18" t="s">
        <v>856</v>
      </c>
      <c r="AC105" s="18" t="s">
        <v>857</v>
      </c>
      <c r="AD105" s="18" t="s">
        <v>664</v>
      </c>
      <c r="AE105" s="18" t="s">
        <v>665</v>
      </c>
      <c r="AG105" s="23">
        <v>331</v>
      </c>
      <c r="AH105" s="23" t="s">
        <v>899</v>
      </c>
      <c r="AI105" s="23" t="s">
        <v>1642</v>
      </c>
      <c r="AJ105" s="23" t="s">
        <v>857</v>
      </c>
      <c r="AK105" s="23" t="s">
        <v>665</v>
      </c>
      <c r="AL105" s="23">
        <v>0.4299</v>
      </c>
      <c r="AM105" s="24">
        <f t="shared" si="2"/>
        <v>6282053.0375999995</v>
      </c>
      <c r="AN105" s="23"/>
      <c r="AO105" s="25">
        <v>1461282400</v>
      </c>
      <c r="AP105" s="23"/>
      <c r="AQ105" s="13" t="s">
        <v>350</v>
      </c>
      <c r="AR105" s="23"/>
      <c r="AS105" s="23"/>
      <c r="AT105" s="28"/>
      <c r="AU105" s="28">
        <v>8010750.1168000009</v>
      </c>
    </row>
    <row r="106" spans="1:47" ht="16" x14ac:dyDescent="0.2">
      <c r="A106" s="2" t="s">
        <v>31</v>
      </c>
      <c r="B106" s="1" t="s">
        <v>900</v>
      </c>
      <c r="C106" s="13" t="s">
        <v>350</v>
      </c>
      <c r="D106" s="1" t="s">
        <v>28</v>
      </c>
      <c r="E106" s="14">
        <v>43370</v>
      </c>
      <c r="F106" s="2" t="s">
        <v>29</v>
      </c>
      <c r="G106" s="2" t="s">
        <v>901</v>
      </c>
      <c r="H106" s="2" t="s">
        <v>900</v>
      </c>
      <c r="I106" s="2" t="s">
        <v>902</v>
      </c>
      <c r="J106" s="2" t="s">
        <v>353</v>
      </c>
      <c r="K106" s="2">
        <v>421.12</v>
      </c>
      <c r="L106" s="2">
        <v>8422.4</v>
      </c>
      <c r="M106" s="2" t="s">
        <v>903</v>
      </c>
      <c r="N106" s="2" t="s">
        <v>35</v>
      </c>
      <c r="O106" s="2">
        <v>29.92</v>
      </c>
      <c r="P106" s="9">
        <f t="shared" si="3"/>
        <v>1047.2</v>
      </c>
      <c r="Q106" s="2" t="s">
        <v>904</v>
      </c>
      <c r="R106" s="2" t="s">
        <v>37</v>
      </c>
      <c r="S106" s="9" t="s">
        <v>905</v>
      </c>
      <c r="T106" s="9" t="s">
        <v>605</v>
      </c>
      <c r="U106" s="9" t="s">
        <v>120</v>
      </c>
      <c r="V106" s="9">
        <v>5</v>
      </c>
      <c r="Y106" s="2" t="s">
        <v>906</v>
      </c>
      <c r="Z106" s="17" t="s">
        <v>607</v>
      </c>
      <c r="AA106" s="18" t="s">
        <v>390</v>
      </c>
      <c r="AB106" s="18" t="s">
        <v>856</v>
      </c>
      <c r="AC106" s="18" t="s">
        <v>857</v>
      </c>
      <c r="AD106" s="18" t="s">
        <v>673</v>
      </c>
      <c r="AE106" s="18" t="s">
        <v>674</v>
      </c>
      <c r="AG106" s="23">
        <v>332</v>
      </c>
      <c r="AH106" s="23" t="s">
        <v>906</v>
      </c>
      <c r="AI106" s="23" t="s">
        <v>1642</v>
      </c>
      <c r="AJ106" s="23" t="s">
        <v>857</v>
      </c>
      <c r="AK106" s="23" t="s">
        <v>674</v>
      </c>
      <c r="AL106" s="23">
        <v>0.5675</v>
      </c>
      <c r="AM106" s="24">
        <f t="shared" si="2"/>
        <v>8292777.6200000001</v>
      </c>
      <c r="AN106" s="23"/>
      <c r="AO106" s="25">
        <v>1461282400</v>
      </c>
      <c r="AP106" s="23"/>
      <c r="AQ106" s="13" t="s">
        <v>350</v>
      </c>
      <c r="AR106" s="23"/>
      <c r="AS106" s="23"/>
      <c r="AT106" s="28"/>
    </row>
    <row r="107" spans="1:47" ht="16" x14ac:dyDescent="0.2">
      <c r="A107" s="2" t="s">
        <v>31</v>
      </c>
      <c r="B107" s="1" t="s">
        <v>907</v>
      </c>
      <c r="C107" s="13" t="s">
        <v>350</v>
      </c>
      <c r="D107" s="1" t="s">
        <v>28</v>
      </c>
      <c r="E107" s="14">
        <v>43370</v>
      </c>
      <c r="F107" s="2" t="s">
        <v>29</v>
      </c>
      <c r="G107" s="2" t="s">
        <v>908</v>
      </c>
      <c r="H107" s="2" t="s">
        <v>907</v>
      </c>
      <c r="I107" s="2" t="s">
        <v>909</v>
      </c>
      <c r="J107" s="2" t="s">
        <v>353</v>
      </c>
      <c r="K107" s="2">
        <v>451.52</v>
      </c>
      <c r="L107" s="2">
        <v>9030.4</v>
      </c>
      <c r="M107" s="2" t="s">
        <v>910</v>
      </c>
      <c r="N107" s="2" t="s">
        <v>35</v>
      </c>
      <c r="O107" s="2">
        <v>46.08</v>
      </c>
      <c r="P107" s="9">
        <f t="shared" si="3"/>
        <v>1612.8</v>
      </c>
      <c r="Q107" s="2" t="s">
        <v>911</v>
      </c>
      <c r="R107" s="2" t="s">
        <v>37</v>
      </c>
      <c r="S107" s="9" t="s">
        <v>912</v>
      </c>
      <c r="T107" s="9" t="s">
        <v>605</v>
      </c>
      <c r="U107" s="9" t="s">
        <v>40</v>
      </c>
      <c r="V107" s="9">
        <v>6</v>
      </c>
      <c r="W107" s="2">
        <v>20.7</v>
      </c>
      <c r="X107" s="2">
        <v>0.28999999999999998</v>
      </c>
      <c r="Y107" s="2" t="s">
        <v>913</v>
      </c>
      <c r="Z107" s="17" t="s">
        <v>607</v>
      </c>
      <c r="AA107" s="18" t="s">
        <v>398</v>
      </c>
      <c r="AB107" s="18" t="s">
        <v>914</v>
      </c>
      <c r="AC107" s="18" t="s">
        <v>915</v>
      </c>
      <c r="AD107" s="18" t="s">
        <v>610</v>
      </c>
      <c r="AE107" s="18" t="s">
        <v>611</v>
      </c>
      <c r="AG107" s="23">
        <v>333</v>
      </c>
      <c r="AH107" s="23" t="s">
        <v>913</v>
      </c>
      <c r="AI107" s="23" t="s">
        <v>1642</v>
      </c>
      <c r="AJ107" s="23" t="s">
        <v>915</v>
      </c>
      <c r="AK107" s="23" t="s">
        <v>611</v>
      </c>
      <c r="AL107" s="23">
        <v>0.43919999999999998</v>
      </c>
      <c r="AM107" s="24">
        <f t="shared" si="2"/>
        <v>6417952.3007999994</v>
      </c>
      <c r="AN107" s="23"/>
      <c r="AO107" s="25">
        <v>1461282400</v>
      </c>
      <c r="AP107" s="23"/>
      <c r="AQ107" s="13" t="s">
        <v>350</v>
      </c>
      <c r="AR107" s="23"/>
      <c r="AS107" s="23"/>
      <c r="AT107" s="28"/>
    </row>
    <row r="108" spans="1:47" ht="16" x14ac:dyDescent="0.2">
      <c r="A108" s="2" t="s">
        <v>31</v>
      </c>
      <c r="B108" s="1" t="s">
        <v>916</v>
      </c>
      <c r="C108" s="13" t="s">
        <v>350</v>
      </c>
      <c r="D108" s="1" t="s">
        <v>28</v>
      </c>
      <c r="E108" s="14">
        <v>43370</v>
      </c>
      <c r="F108" s="2" t="s">
        <v>29</v>
      </c>
      <c r="G108" s="2" t="s">
        <v>917</v>
      </c>
      <c r="H108" s="2" t="s">
        <v>916</v>
      </c>
      <c r="I108" s="2" t="s">
        <v>918</v>
      </c>
      <c r="J108" s="2" t="s">
        <v>353</v>
      </c>
      <c r="K108" s="2">
        <v>503.04</v>
      </c>
      <c r="L108" s="2">
        <v>10060.800000000001</v>
      </c>
      <c r="M108" s="2" t="s">
        <v>919</v>
      </c>
      <c r="N108" s="2" t="s">
        <v>35</v>
      </c>
      <c r="O108" s="2">
        <v>30.88</v>
      </c>
      <c r="P108" s="9">
        <f t="shared" si="3"/>
        <v>1080.8</v>
      </c>
      <c r="Q108" s="2" t="s">
        <v>920</v>
      </c>
      <c r="R108" s="2" t="s">
        <v>37</v>
      </c>
      <c r="S108" s="9" t="s">
        <v>921</v>
      </c>
      <c r="T108" s="9" t="s">
        <v>605</v>
      </c>
      <c r="U108" s="9" t="s">
        <v>54</v>
      </c>
      <c r="V108" s="9">
        <v>6</v>
      </c>
      <c r="Y108" s="2" t="s">
        <v>922</v>
      </c>
      <c r="Z108" s="17" t="s">
        <v>607</v>
      </c>
      <c r="AA108" s="18" t="s">
        <v>408</v>
      </c>
      <c r="AB108" s="18" t="s">
        <v>914</v>
      </c>
      <c r="AC108" s="18" t="s">
        <v>915</v>
      </c>
      <c r="AD108" s="18" t="s">
        <v>619</v>
      </c>
      <c r="AE108" s="18" t="s">
        <v>620</v>
      </c>
      <c r="AG108" s="23">
        <v>334</v>
      </c>
      <c r="AH108" s="23" t="s">
        <v>922</v>
      </c>
      <c r="AI108" s="23" t="s">
        <v>1642</v>
      </c>
      <c r="AJ108" s="23" t="s">
        <v>915</v>
      </c>
      <c r="AK108" s="23" t="s">
        <v>620</v>
      </c>
      <c r="AL108" s="23">
        <v>0.25290000000000001</v>
      </c>
      <c r="AM108" s="24">
        <f t="shared" si="2"/>
        <v>3695583.1896000002</v>
      </c>
      <c r="AN108" s="23"/>
      <c r="AO108" s="25">
        <v>1461282400</v>
      </c>
      <c r="AP108" s="23"/>
      <c r="AQ108" s="13" t="s">
        <v>350</v>
      </c>
      <c r="AR108" s="23"/>
      <c r="AS108" s="23"/>
      <c r="AT108" s="28"/>
    </row>
    <row r="109" spans="1:47" ht="16" x14ac:dyDescent="0.2">
      <c r="A109" s="2" t="s">
        <v>31</v>
      </c>
      <c r="B109" s="1" t="s">
        <v>923</v>
      </c>
      <c r="C109" s="13" t="s">
        <v>350</v>
      </c>
      <c r="D109" s="1" t="s">
        <v>28</v>
      </c>
      <c r="E109" s="14">
        <v>43370</v>
      </c>
      <c r="F109" s="2" t="s">
        <v>29</v>
      </c>
      <c r="G109" s="2" t="s">
        <v>924</v>
      </c>
      <c r="H109" s="2" t="s">
        <v>923</v>
      </c>
      <c r="I109" s="2" t="s">
        <v>925</v>
      </c>
      <c r="J109" s="2" t="s">
        <v>353</v>
      </c>
      <c r="K109" s="2">
        <v>512.08000000000004</v>
      </c>
      <c r="L109" s="2">
        <v>10241.6</v>
      </c>
      <c r="M109" s="2" t="s">
        <v>926</v>
      </c>
      <c r="N109" s="2" t="s">
        <v>35</v>
      </c>
      <c r="O109" s="2">
        <v>32</v>
      </c>
      <c r="P109" s="9">
        <f t="shared" si="3"/>
        <v>1120</v>
      </c>
      <c r="Q109" s="2" t="s">
        <v>927</v>
      </c>
      <c r="R109" s="2" t="s">
        <v>37</v>
      </c>
      <c r="S109" s="9" t="s">
        <v>928</v>
      </c>
      <c r="T109" s="9" t="s">
        <v>605</v>
      </c>
      <c r="U109" s="9" t="s">
        <v>65</v>
      </c>
      <c r="V109" s="9">
        <v>6</v>
      </c>
      <c r="Y109" s="2" t="s">
        <v>929</v>
      </c>
      <c r="Z109" s="17" t="s">
        <v>607</v>
      </c>
      <c r="AA109" s="18" t="s">
        <v>416</v>
      </c>
      <c r="AB109" s="18" t="s">
        <v>914</v>
      </c>
      <c r="AC109" s="18" t="s">
        <v>915</v>
      </c>
      <c r="AD109" s="18" t="s">
        <v>628</v>
      </c>
      <c r="AE109" s="18" t="s">
        <v>629</v>
      </c>
      <c r="AG109" s="23">
        <v>335</v>
      </c>
      <c r="AH109" s="23" t="s">
        <v>929</v>
      </c>
      <c r="AI109" s="23" t="s">
        <v>1642</v>
      </c>
      <c r="AJ109" s="23" t="s">
        <v>915</v>
      </c>
      <c r="AK109" s="23" t="s">
        <v>629</v>
      </c>
      <c r="AL109" s="23">
        <v>0.317</v>
      </c>
      <c r="AM109" s="24">
        <f t="shared" si="2"/>
        <v>4632265.2080000006</v>
      </c>
      <c r="AN109" s="23"/>
      <c r="AO109" s="25">
        <v>1461282400</v>
      </c>
      <c r="AP109" s="23"/>
      <c r="AQ109" s="13" t="s">
        <v>350</v>
      </c>
      <c r="AR109" s="23"/>
      <c r="AS109" s="23"/>
      <c r="AT109" s="28"/>
    </row>
    <row r="110" spans="1:47" ht="16" x14ac:dyDescent="0.2">
      <c r="A110" s="2" t="s">
        <v>31</v>
      </c>
      <c r="B110" s="1" t="s">
        <v>930</v>
      </c>
      <c r="C110" s="13" t="s">
        <v>350</v>
      </c>
      <c r="D110" s="1" t="s">
        <v>28</v>
      </c>
      <c r="E110" s="14">
        <v>43370</v>
      </c>
      <c r="F110" s="2" t="s">
        <v>29</v>
      </c>
      <c r="G110" s="2" t="s">
        <v>931</v>
      </c>
      <c r="H110" s="2" t="s">
        <v>930</v>
      </c>
      <c r="I110" s="2" t="s">
        <v>932</v>
      </c>
      <c r="J110" s="2" t="s">
        <v>353</v>
      </c>
      <c r="K110" s="2">
        <v>639.20000000000005</v>
      </c>
      <c r="L110" s="2">
        <v>12784</v>
      </c>
      <c r="M110" s="2" t="s">
        <v>933</v>
      </c>
      <c r="N110" s="2" t="s">
        <v>35</v>
      </c>
      <c r="O110" s="2">
        <v>60.32</v>
      </c>
      <c r="P110" s="9">
        <f t="shared" si="3"/>
        <v>2111.1999999999998</v>
      </c>
      <c r="Q110" s="2" t="s">
        <v>934</v>
      </c>
      <c r="R110" s="2" t="s">
        <v>37</v>
      </c>
      <c r="S110" s="9" t="s">
        <v>935</v>
      </c>
      <c r="T110" s="9" t="s">
        <v>605</v>
      </c>
      <c r="U110" s="9" t="s">
        <v>76</v>
      </c>
      <c r="V110" s="9">
        <v>6</v>
      </c>
      <c r="Y110" s="2" t="s">
        <v>936</v>
      </c>
      <c r="Z110" s="17" t="s">
        <v>607</v>
      </c>
      <c r="AA110" s="18" t="s">
        <v>424</v>
      </c>
      <c r="AB110" s="18" t="s">
        <v>914</v>
      </c>
      <c r="AC110" s="18" t="s">
        <v>915</v>
      </c>
      <c r="AD110" s="18" t="s">
        <v>637</v>
      </c>
      <c r="AE110" s="18" t="s">
        <v>638</v>
      </c>
      <c r="AG110" s="23">
        <v>336</v>
      </c>
      <c r="AH110" s="23" t="s">
        <v>936</v>
      </c>
      <c r="AI110" s="23" t="s">
        <v>1642</v>
      </c>
      <c r="AJ110" s="23" t="s">
        <v>915</v>
      </c>
      <c r="AK110" s="23" t="s">
        <v>638</v>
      </c>
      <c r="AL110" s="23">
        <v>0.40660000000000002</v>
      </c>
      <c r="AM110" s="24">
        <f t="shared" si="2"/>
        <v>5941574.2384000001</v>
      </c>
      <c r="AN110" s="23"/>
      <c r="AO110" s="25">
        <v>1461282400</v>
      </c>
      <c r="AP110" s="23"/>
      <c r="AQ110" s="13" t="s">
        <v>350</v>
      </c>
      <c r="AR110" s="23"/>
      <c r="AS110" s="23"/>
      <c r="AT110" s="28"/>
    </row>
    <row r="111" spans="1:47" ht="16" x14ac:dyDescent="0.2">
      <c r="A111" s="2" t="s">
        <v>31</v>
      </c>
      <c r="B111" s="1" t="s">
        <v>937</v>
      </c>
      <c r="C111" s="13" t="s">
        <v>350</v>
      </c>
      <c r="D111" s="1" t="s">
        <v>28</v>
      </c>
      <c r="E111" s="14">
        <v>43370</v>
      </c>
      <c r="F111" s="2" t="s">
        <v>29</v>
      </c>
      <c r="G111" s="2" t="s">
        <v>938</v>
      </c>
      <c r="H111" s="2" t="s">
        <v>937</v>
      </c>
      <c r="I111" s="2" t="s">
        <v>939</v>
      </c>
      <c r="J111" s="2" t="s">
        <v>353</v>
      </c>
      <c r="K111" s="2">
        <v>324.56</v>
      </c>
      <c r="L111" s="2">
        <v>6491.2</v>
      </c>
      <c r="M111" s="2" t="s">
        <v>940</v>
      </c>
      <c r="N111" s="2" t="s">
        <v>35</v>
      </c>
      <c r="O111" s="2">
        <v>43.68</v>
      </c>
      <c r="P111" s="9">
        <f t="shared" si="3"/>
        <v>1528.8</v>
      </c>
      <c r="Q111" s="2" t="s">
        <v>941</v>
      </c>
      <c r="R111" s="2" t="s">
        <v>37</v>
      </c>
      <c r="S111" s="9" t="s">
        <v>942</v>
      </c>
      <c r="T111" s="9" t="s">
        <v>605</v>
      </c>
      <c r="U111" s="9" t="s">
        <v>87</v>
      </c>
      <c r="V111" s="9">
        <v>6</v>
      </c>
      <c r="Y111" s="2" t="s">
        <v>943</v>
      </c>
      <c r="Z111" s="17" t="s">
        <v>607</v>
      </c>
      <c r="AA111" s="18" t="s">
        <v>432</v>
      </c>
      <c r="AB111" s="18" t="s">
        <v>914</v>
      </c>
      <c r="AC111" s="18" t="s">
        <v>915</v>
      </c>
      <c r="AD111" s="18" t="s">
        <v>646</v>
      </c>
      <c r="AE111" s="18" t="s">
        <v>647</v>
      </c>
      <c r="AG111" s="23">
        <v>337</v>
      </c>
      <c r="AH111" s="23" t="s">
        <v>943</v>
      </c>
      <c r="AI111" s="23" t="s">
        <v>1642</v>
      </c>
      <c r="AJ111" s="23" t="s">
        <v>915</v>
      </c>
      <c r="AK111" s="23" t="s">
        <v>647</v>
      </c>
      <c r="AL111" s="23">
        <v>0.41310000000000002</v>
      </c>
      <c r="AM111" s="24">
        <f t="shared" si="2"/>
        <v>6036557.5944000008</v>
      </c>
      <c r="AN111" s="23"/>
      <c r="AO111" s="25">
        <v>1461282400</v>
      </c>
      <c r="AP111" s="23"/>
      <c r="AQ111" s="13" t="s">
        <v>350</v>
      </c>
      <c r="AR111" s="23"/>
      <c r="AS111" s="23"/>
      <c r="AT111" s="28"/>
    </row>
    <row r="112" spans="1:47" ht="16" x14ac:dyDescent="0.2">
      <c r="A112" s="2" t="s">
        <v>31</v>
      </c>
      <c r="B112" s="1" t="s">
        <v>944</v>
      </c>
      <c r="C112" s="13" t="s">
        <v>350</v>
      </c>
      <c r="D112" s="1" t="s">
        <v>28</v>
      </c>
      <c r="E112" s="14">
        <v>43370</v>
      </c>
      <c r="F112" s="2" t="s">
        <v>29</v>
      </c>
      <c r="G112" s="2" t="s">
        <v>945</v>
      </c>
      <c r="H112" s="2" t="s">
        <v>944</v>
      </c>
      <c r="I112" s="2" t="s">
        <v>946</v>
      </c>
      <c r="J112" s="2" t="s">
        <v>353</v>
      </c>
      <c r="K112" s="2">
        <v>667.76</v>
      </c>
      <c r="L112" s="2">
        <v>13355.2</v>
      </c>
      <c r="M112" s="2" t="s">
        <v>947</v>
      </c>
      <c r="N112" s="2" t="s">
        <v>35</v>
      </c>
      <c r="O112" s="2">
        <v>29.12</v>
      </c>
      <c r="P112" s="9">
        <f t="shared" si="3"/>
        <v>1019.2</v>
      </c>
      <c r="Q112" s="2" t="s">
        <v>948</v>
      </c>
      <c r="R112" s="2" t="s">
        <v>37</v>
      </c>
      <c r="S112" s="9" t="s">
        <v>949</v>
      </c>
      <c r="T112" s="9" t="s">
        <v>605</v>
      </c>
      <c r="U112" s="9" t="s">
        <v>98</v>
      </c>
      <c r="V112" s="9">
        <v>6</v>
      </c>
      <c r="Y112" s="2" t="s">
        <v>950</v>
      </c>
      <c r="Z112" s="17" t="s">
        <v>607</v>
      </c>
      <c r="AA112" s="18" t="s">
        <v>440</v>
      </c>
      <c r="AB112" s="18" t="s">
        <v>914</v>
      </c>
      <c r="AC112" s="18" t="s">
        <v>915</v>
      </c>
      <c r="AD112" s="18" t="s">
        <v>655</v>
      </c>
      <c r="AE112" s="18" t="s">
        <v>656</v>
      </c>
      <c r="AG112" s="23">
        <v>338</v>
      </c>
      <c r="AH112" s="23" t="s">
        <v>950</v>
      </c>
      <c r="AI112" s="23" t="s">
        <v>1642</v>
      </c>
      <c r="AJ112" s="23" t="s">
        <v>915</v>
      </c>
      <c r="AK112" s="23" t="s">
        <v>656</v>
      </c>
      <c r="AL112" s="23">
        <v>0.50249999999999995</v>
      </c>
      <c r="AM112" s="24">
        <f t="shared" si="2"/>
        <v>7342944.0599999987</v>
      </c>
      <c r="AN112" s="23"/>
      <c r="AO112" s="25">
        <v>1461282400</v>
      </c>
      <c r="AP112" s="23"/>
      <c r="AQ112" s="13" t="s">
        <v>350</v>
      </c>
      <c r="AR112" s="23"/>
      <c r="AS112" s="23"/>
      <c r="AT112" s="28"/>
    </row>
    <row r="113" spans="1:46" ht="16" x14ac:dyDescent="0.2">
      <c r="A113" s="2" t="s">
        <v>31</v>
      </c>
      <c r="B113" s="1" t="s">
        <v>951</v>
      </c>
      <c r="C113" s="13" t="s">
        <v>350</v>
      </c>
      <c r="D113" s="1" t="s">
        <v>28</v>
      </c>
      <c r="E113" s="14">
        <v>43370</v>
      </c>
      <c r="F113" s="2" t="s">
        <v>29</v>
      </c>
      <c r="G113" s="2" t="s">
        <v>952</v>
      </c>
      <c r="H113" s="2" t="s">
        <v>951</v>
      </c>
      <c r="I113" s="2" t="s">
        <v>953</v>
      </c>
      <c r="J113" s="2" t="s">
        <v>353</v>
      </c>
      <c r="K113" s="2">
        <v>358.72</v>
      </c>
      <c r="L113" s="2">
        <v>7174.4000000000005</v>
      </c>
      <c r="M113" s="2" t="s">
        <v>954</v>
      </c>
      <c r="N113" s="2" t="s">
        <v>35</v>
      </c>
      <c r="O113" s="2">
        <v>27.92</v>
      </c>
      <c r="P113" s="9">
        <f t="shared" si="3"/>
        <v>977.2</v>
      </c>
      <c r="Q113" s="2" t="s">
        <v>955</v>
      </c>
      <c r="R113" s="2" t="s">
        <v>37</v>
      </c>
      <c r="S113" s="9" t="s">
        <v>956</v>
      </c>
      <c r="T113" s="9" t="s">
        <v>605</v>
      </c>
      <c r="U113" s="9" t="s">
        <v>109</v>
      </c>
      <c r="V113" s="9">
        <v>6</v>
      </c>
      <c r="Y113" s="2" t="s">
        <v>957</v>
      </c>
      <c r="Z113" s="17" t="s">
        <v>607</v>
      </c>
      <c r="AA113" s="18" t="s">
        <v>448</v>
      </c>
      <c r="AB113" s="18" t="s">
        <v>914</v>
      </c>
      <c r="AC113" s="18" t="s">
        <v>915</v>
      </c>
      <c r="AD113" s="18" t="s">
        <v>664</v>
      </c>
      <c r="AE113" s="18" t="s">
        <v>665</v>
      </c>
      <c r="AG113" s="23">
        <v>339</v>
      </c>
      <c r="AH113" s="23" t="s">
        <v>957</v>
      </c>
      <c r="AI113" s="23" t="s">
        <v>1642</v>
      </c>
      <c r="AJ113" s="23" t="s">
        <v>915</v>
      </c>
      <c r="AK113" s="23" t="s">
        <v>665</v>
      </c>
      <c r="AL113" s="23">
        <v>0.44030000000000002</v>
      </c>
      <c r="AM113" s="24">
        <f t="shared" si="2"/>
        <v>6434026.4072000002</v>
      </c>
      <c r="AN113" s="23"/>
      <c r="AO113" s="25">
        <v>1461282400</v>
      </c>
      <c r="AP113" s="23"/>
      <c r="AQ113" s="13" t="s">
        <v>350</v>
      </c>
      <c r="AR113" s="23"/>
      <c r="AS113" s="23"/>
      <c r="AT113" s="28"/>
    </row>
    <row r="114" spans="1:46" ht="16" x14ac:dyDescent="0.2">
      <c r="A114" s="2" t="s">
        <v>31</v>
      </c>
      <c r="B114" s="1" t="s">
        <v>958</v>
      </c>
      <c r="C114" s="13" t="s">
        <v>350</v>
      </c>
      <c r="D114" s="1" t="s">
        <v>28</v>
      </c>
      <c r="E114" s="14">
        <v>43370</v>
      </c>
      <c r="F114" s="2" t="s">
        <v>29</v>
      </c>
      <c r="G114" s="2" t="s">
        <v>959</v>
      </c>
      <c r="H114" s="2" t="s">
        <v>958</v>
      </c>
      <c r="I114" s="2" t="s">
        <v>960</v>
      </c>
      <c r="J114" s="2" t="s">
        <v>353</v>
      </c>
      <c r="K114" s="2">
        <v>579.20000000000005</v>
      </c>
      <c r="L114" s="2">
        <v>11584</v>
      </c>
      <c r="M114" s="2" t="s">
        <v>961</v>
      </c>
      <c r="N114" s="2" t="s">
        <v>35</v>
      </c>
      <c r="O114" s="2">
        <v>30.08</v>
      </c>
      <c r="P114" s="9">
        <f t="shared" si="3"/>
        <v>1052.8</v>
      </c>
      <c r="Q114" s="2" t="s">
        <v>962</v>
      </c>
      <c r="R114" s="2" t="s">
        <v>37</v>
      </c>
      <c r="S114" s="9" t="s">
        <v>963</v>
      </c>
      <c r="T114" s="9" t="s">
        <v>605</v>
      </c>
      <c r="U114" s="9" t="s">
        <v>120</v>
      </c>
      <c r="V114" s="9">
        <v>6</v>
      </c>
      <c r="Y114" s="2" t="s">
        <v>964</v>
      </c>
      <c r="Z114" s="17" t="s">
        <v>607</v>
      </c>
      <c r="AA114" s="18" t="s">
        <v>456</v>
      </c>
      <c r="AB114" s="18" t="s">
        <v>914</v>
      </c>
      <c r="AC114" s="18" t="s">
        <v>915</v>
      </c>
      <c r="AD114" s="18" t="s">
        <v>673</v>
      </c>
      <c r="AE114" s="18" t="s">
        <v>674</v>
      </c>
      <c r="AG114" s="23">
        <v>340</v>
      </c>
      <c r="AH114" s="23" t="s">
        <v>964</v>
      </c>
      <c r="AI114" s="23" t="s">
        <v>1642</v>
      </c>
      <c r="AJ114" s="23" t="s">
        <v>915</v>
      </c>
      <c r="AK114" s="23" t="s">
        <v>674</v>
      </c>
      <c r="AL114" s="23">
        <v>0.51729999999999998</v>
      </c>
      <c r="AM114" s="24">
        <f t="shared" si="2"/>
        <v>7559213.8552000001</v>
      </c>
      <c r="AN114" s="23"/>
      <c r="AO114" s="25">
        <v>1461282400</v>
      </c>
      <c r="AP114" s="23"/>
      <c r="AQ114" s="13" t="s">
        <v>350</v>
      </c>
      <c r="AR114" s="23"/>
      <c r="AS114" s="23"/>
      <c r="AT114" s="28"/>
    </row>
    <row r="115" spans="1:46" ht="16" x14ac:dyDescent="0.2">
      <c r="A115" s="2" t="s">
        <v>31</v>
      </c>
      <c r="B115" s="1" t="s">
        <v>965</v>
      </c>
      <c r="C115" s="13" t="s">
        <v>350</v>
      </c>
      <c r="D115" s="1" t="s">
        <v>28</v>
      </c>
      <c r="E115" s="14">
        <v>43370</v>
      </c>
      <c r="F115" s="2" t="s">
        <v>29</v>
      </c>
      <c r="G115" s="2" t="s">
        <v>966</v>
      </c>
      <c r="H115" s="2" t="s">
        <v>965</v>
      </c>
      <c r="I115" s="2" t="s">
        <v>967</v>
      </c>
      <c r="J115" s="2" t="s">
        <v>353</v>
      </c>
      <c r="K115" s="2">
        <v>473.68</v>
      </c>
      <c r="L115" s="2">
        <v>9473.6</v>
      </c>
      <c r="M115" s="2" t="s">
        <v>968</v>
      </c>
      <c r="N115" s="2" t="s">
        <v>35</v>
      </c>
      <c r="O115" s="2">
        <v>63.28</v>
      </c>
      <c r="P115" s="9">
        <f t="shared" si="3"/>
        <v>2214.8000000000002</v>
      </c>
      <c r="Q115" s="2" t="s">
        <v>969</v>
      </c>
      <c r="R115" s="2" t="s">
        <v>37</v>
      </c>
      <c r="S115" s="9" t="s">
        <v>970</v>
      </c>
      <c r="T115" s="9" t="s">
        <v>605</v>
      </c>
      <c r="U115" s="9" t="s">
        <v>40</v>
      </c>
      <c r="V115" s="9">
        <v>7</v>
      </c>
      <c r="Y115" s="2" t="s">
        <v>971</v>
      </c>
      <c r="Z115" s="17" t="s">
        <v>607</v>
      </c>
      <c r="AA115" s="18" t="s">
        <v>464</v>
      </c>
      <c r="AB115" s="18" t="s">
        <v>972</v>
      </c>
      <c r="AC115" s="18" t="s">
        <v>973</v>
      </c>
      <c r="AD115" s="18" t="s">
        <v>610</v>
      </c>
      <c r="AE115" s="18" t="s">
        <v>611</v>
      </c>
      <c r="AG115" s="23">
        <v>341</v>
      </c>
      <c r="AH115" s="23" t="s">
        <v>971</v>
      </c>
      <c r="AI115" s="23" t="s">
        <v>1642</v>
      </c>
      <c r="AJ115" s="23" t="s">
        <v>973</v>
      </c>
      <c r="AK115" s="23" t="s">
        <v>611</v>
      </c>
      <c r="AL115" s="23">
        <v>0.55200000000000005</v>
      </c>
      <c r="AM115" s="24">
        <f t="shared" si="2"/>
        <v>8066278.8480000012</v>
      </c>
      <c r="AN115" s="23"/>
      <c r="AO115" s="25">
        <v>1461282400</v>
      </c>
      <c r="AP115" s="23"/>
      <c r="AQ115" s="13" t="s">
        <v>350</v>
      </c>
      <c r="AR115" s="23"/>
      <c r="AS115" s="23"/>
      <c r="AT115" s="28"/>
    </row>
    <row r="116" spans="1:46" ht="16" x14ac:dyDescent="0.2">
      <c r="A116" s="2" t="s">
        <v>31</v>
      </c>
      <c r="B116" s="1" t="s">
        <v>974</v>
      </c>
      <c r="C116" s="13" t="s">
        <v>350</v>
      </c>
      <c r="D116" s="1" t="s">
        <v>28</v>
      </c>
      <c r="E116" s="14">
        <v>43370</v>
      </c>
      <c r="F116" s="2" t="s">
        <v>29</v>
      </c>
      <c r="G116" s="2" t="s">
        <v>975</v>
      </c>
      <c r="H116" s="2" t="s">
        <v>974</v>
      </c>
      <c r="I116" s="2" t="s">
        <v>976</v>
      </c>
      <c r="J116" s="2" t="s">
        <v>353</v>
      </c>
      <c r="K116" s="2">
        <v>342.08</v>
      </c>
      <c r="L116" s="2">
        <v>6841.5999999999995</v>
      </c>
      <c r="M116" s="2" t="s">
        <v>977</v>
      </c>
      <c r="N116" s="2" t="s">
        <v>35</v>
      </c>
      <c r="O116" s="2">
        <v>30.24</v>
      </c>
      <c r="P116" s="9">
        <f t="shared" si="3"/>
        <v>1058.3999999999999</v>
      </c>
      <c r="Q116" s="2" t="s">
        <v>978</v>
      </c>
      <c r="R116" s="2" t="s">
        <v>37</v>
      </c>
      <c r="S116" s="9" t="s">
        <v>979</v>
      </c>
      <c r="T116" s="9" t="s">
        <v>605</v>
      </c>
      <c r="U116" s="9" t="s">
        <v>54</v>
      </c>
      <c r="V116" s="9">
        <v>7</v>
      </c>
      <c r="Y116" s="2" t="s">
        <v>980</v>
      </c>
      <c r="Z116" s="17" t="s">
        <v>607</v>
      </c>
      <c r="AA116" s="18" t="s">
        <v>474</v>
      </c>
      <c r="AB116" s="18" t="s">
        <v>972</v>
      </c>
      <c r="AC116" s="18" t="s">
        <v>973</v>
      </c>
      <c r="AD116" s="18" t="s">
        <v>619</v>
      </c>
      <c r="AE116" s="18" t="s">
        <v>620</v>
      </c>
      <c r="AG116" s="23">
        <v>342</v>
      </c>
      <c r="AH116" s="23" t="s">
        <v>980</v>
      </c>
      <c r="AI116" s="23" t="s">
        <v>1642</v>
      </c>
      <c r="AJ116" s="23" t="s">
        <v>973</v>
      </c>
      <c r="AK116" s="23" t="s">
        <v>620</v>
      </c>
      <c r="AL116" s="23">
        <v>0.43159999999999998</v>
      </c>
      <c r="AM116" s="24">
        <f t="shared" si="2"/>
        <v>6306894.8384000007</v>
      </c>
      <c r="AN116" s="23"/>
      <c r="AO116" s="25">
        <v>1461282400</v>
      </c>
      <c r="AP116" s="23"/>
      <c r="AQ116" s="13" t="s">
        <v>350</v>
      </c>
      <c r="AR116" s="23"/>
      <c r="AS116" s="23"/>
      <c r="AT116" s="28"/>
    </row>
    <row r="117" spans="1:46" ht="16" x14ac:dyDescent="0.2">
      <c r="A117" s="2" t="s">
        <v>31</v>
      </c>
      <c r="B117" s="1" t="s">
        <v>981</v>
      </c>
      <c r="C117" s="13" t="s">
        <v>350</v>
      </c>
      <c r="D117" s="1" t="s">
        <v>28</v>
      </c>
      <c r="E117" s="14">
        <v>43370</v>
      </c>
      <c r="F117" s="2" t="s">
        <v>29</v>
      </c>
      <c r="G117" s="2" t="s">
        <v>982</v>
      </c>
      <c r="H117" s="2" t="s">
        <v>981</v>
      </c>
      <c r="I117" s="3" t="s">
        <v>983</v>
      </c>
      <c r="J117" s="2" t="s">
        <v>353</v>
      </c>
      <c r="K117" s="3">
        <v>59.28</v>
      </c>
      <c r="L117" s="3">
        <v>1185.5999999999999</v>
      </c>
      <c r="M117" s="2" t="s">
        <v>984</v>
      </c>
      <c r="N117" s="2" t="s">
        <v>35</v>
      </c>
      <c r="O117" s="2">
        <v>19.04</v>
      </c>
      <c r="P117" s="9">
        <f t="shared" si="3"/>
        <v>666.4</v>
      </c>
      <c r="Q117" s="2" t="s">
        <v>985</v>
      </c>
      <c r="R117" s="2" t="s">
        <v>37</v>
      </c>
      <c r="S117" s="9" t="s">
        <v>986</v>
      </c>
      <c r="T117" s="9" t="s">
        <v>605</v>
      </c>
      <c r="U117" s="9" t="s">
        <v>65</v>
      </c>
      <c r="V117" s="9">
        <v>7</v>
      </c>
      <c r="Y117" s="2" t="s">
        <v>987</v>
      </c>
      <c r="Z117" s="17" t="s">
        <v>607</v>
      </c>
      <c r="AA117" s="18" t="s">
        <v>482</v>
      </c>
      <c r="AB117" s="18" t="s">
        <v>972</v>
      </c>
      <c r="AC117" s="18" t="s">
        <v>973</v>
      </c>
      <c r="AD117" s="18" t="s">
        <v>628</v>
      </c>
      <c r="AE117" s="18" t="s">
        <v>629</v>
      </c>
      <c r="AG117" s="23">
        <v>343</v>
      </c>
      <c r="AH117" s="23" t="s">
        <v>987</v>
      </c>
      <c r="AI117" s="23" t="s">
        <v>1642</v>
      </c>
      <c r="AJ117" s="23" t="s">
        <v>973</v>
      </c>
      <c r="AK117" s="23" t="s">
        <v>629</v>
      </c>
      <c r="AL117" s="23">
        <v>0.3503</v>
      </c>
      <c r="AM117" s="24">
        <f t="shared" si="2"/>
        <v>5118872.2472000001</v>
      </c>
      <c r="AN117" s="23"/>
      <c r="AO117" s="25">
        <v>1461282400</v>
      </c>
      <c r="AP117" s="23"/>
      <c r="AQ117" s="13" t="s">
        <v>350</v>
      </c>
      <c r="AR117" s="23"/>
      <c r="AS117" s="23"/>
      <c r="AT117" s="28"/>
    </row>
    <row r="118" spans="1:46" ht="16" x14ac:dyDescent="0.2">
      <c r="A118" s="2" t="s">
        <v>31</v>
      </c>
      <c r="B118" s="1" t="s">
        <v>988</v>
      </c>
      <c r="C118" s="13" t="s">
        <v>350</v>
      </c>
      <c r="D118" s="1" t="s">
        <v>28</v>
      </c>
      <c r="E118" s="14">
        <v>43370</v>
      </c>
      <c r="F118" s="2" t="s">
        <v>29</v>
      </c>
      <c r="G118" s="2" t="s">
        <v>989</v>
      </c>
      <c r="H118" s="2" t="s">
        <v>988</v>
      </c>
      <c r="I118" s="2" t="s">
        <v>990</v>
      </c>
      <c r="J118" s="2" t="s">
        <v>353</v>
      </c>
      <c r="K118" s="2">
        <v>441.68</v>
      </c>
      <c r="L118" s="2">
        <v>8833.6</v>
      </c>
      <c r="M118" s="2" t="s">
        <v>991</v>
      </c>
      <c r="N118" s="2" t="s">
        <v>35</v>
      </c>
      <c r="O118" s="2">
        <v>29.84</v>
      </c>
      <c r="P118" s="9">
        <f t="shared" si="3"/>
        <v>1044.4000000000001</v>
      </c>
      <c r="Q118" s="2" t="s">
        <v>992</v>
      </c>
      <c r="R118" s="2" t="s">
        <v>37</v>
      </c>
      <c r="S118" s="9" t="s">
        <v>993</v>
      </c>
      <c r="T118" s="9" t="s">
        <v>605</v>
      </c>
      <c r="U118" s="9" t="s">
        <v>76</v>
      </c>
      <c r="V118" s="9">
        <v>7</v>
      </c>
      <c r="Y118" s="2" t="s">
        <v>994</v>
      </c>
      <c r="Z118" s="17" t="s">
        <v>607</v>
      </c>
      <c r="AA118" s="18" t="s">
        <v>490</v>
      </c>
      <c r="AB118" s="18" t="s">
        <v>972</v>
      </c>
      <c r="AC118" s="18" t="s">
        <v>973</v>
      </c>
      <c r="AD118" s="18" t="s">
        <v>637</v>
      </c>
      <c r="AE118" s="18" t="s">
        <v>638</v>
      </c>
      <c r="AG118" s="23">
        <v>344</v>
      </c>
      <c r="AH118" s="23" t="s">
        <v>994</v>
      </c>
      <c r="AI118" s="23" t="s">
        <v>1642</v>
      </c>
      <c r="AJ118" s="23" t="s">
        <v>973</v>
      </c>
      <c r="AK118" s="23" t="s">
        <v>638</v>
      </c>
      <c r="AL118" s="23">
        <v>0.49220000000000003</v>
      </c>
      <c r="AM118" s="24">
        <f t="shared" si="2"/>
        <v>7192431.9728000006</v>
      </c>
      <c r="AN118" s="23"/>
      <c r="AO118" s="25">
        <v>1461282400</v>
      </c>
      <c r="AP118" s="23"/>
      <c r="AQ118" s="13" t="s">
        <v>350</v>
      </c>
      <c r="AR118" s="23"/>
      <c r="AS118" s="23"/>
      <c r="AT118" s="28"/>
    </row>
    <row r="119" spans="1:46" ht="16" x14ac:dyDescent="0.2">
      <c r="A119" s="2" t="s">
        <v>31</v>
      </c>
      <c r="B119" s="1" t="s">
        <v>995</v>
      </c>
      <c r="C119" s="13" t="s">
        <v>350</v>
      </c>
      <c r="D119" s="1" t="s">
        <v>28</v>
      </c>
      <c r="E119" s="14">
        <v>43370</v>
      </c>
      <c r="F119" s="2" t="s">
        <v>29</v>
      </c>
      <c r="G119" s="2" t="s">
        <v>996</v>
      </c>
      <c r="H119" s="2" t="s">
        <v>995</v>
      </c>
      <c r="I119" s="2" t="s">
        <v>997</v>
      </c>
      <c r="J119" s="2" t="s">
        <v>353</v>
      </c>
      <c r="K119" s="2">
        <v>412.56</v>
      </c>
      <c r="L119" s="2">
        <v>8251.2000000000007</v>
      </c>
      <c r="M119" s="2" t="s">
        <v>998</v>
      </c>
      <c r="N119" s="2" t="s">
        <v>35</v>
      </c>
      <c r="O119" s="2">
        <v>30</v>
      </c>
      <c r="P119" s="9">
        <f t="shared" si="3"/>
        <v>1050</v>
      </c>
      <c r="Q119" s="2" t="s">
        <v>999</v>
      </c>
      <c r="R119" s="2" t="s">
        <v>37</v>
      </c>
      <c r="S119" s="9" t="s">
        <v>1000</v>
      </c>
      <c r="T119" s="9" t="s">
        <v>605</v>
      </c>
      <c r="U119" s="9" t="s">
        <v>87</v>
      </c>
      <c r="V119" s="9">
        <v>7</v>
      </c>
      <c r="W119" s="2">
        <v>20.3</v>
      </c>
      <c r="X119" s="2">
        <v>0.28999999999999998</v>
      </c>
      <c r="Y119" s="2" t="s">
        <v>1001</v>
      </c>
      <c r="Z119" s="17" t="s">
        <v>607</v>
      </c>
      <c r="AA119" s="18" t="s">
        <v>498</v>
      </c>
      <c r="AB119" s="18" t="s">
        <v>972</v>
      </c>
      <c r="AC119" s="18" t="s">
        <v>973</v>
      </c>
      <c r="AD119" s="18" t="s">
        <v>646</v>
      </c>
      <c r="AE119" s="18" t="s">
        <v>647</v>
      </c>
      <c r="AG119" s="23">
        <v>345</v>
      </c>
      <c r="AH119" s="23" t="s">
        <v>1001</v>
      </c>
      <c r="AI119" s="23" t="s">
        <v>1642</v>
      </c>
      <c r="AJ119" s="23" t="s">
        <v>973</v>
      </c>
      <c r="AK119" s="23" t="s">
        <v>647</v>
      </c>
      <c r="AL119" s="23">
        <v>0.52080000000000004</v>
      </c>
      <c r="AM119" s="24">
        <f t="shared" si="2"/>
        <v>7610358.7392000007</v>
      </c>
      <c r="AN119" s="23"/>
      <c r="AO119" s="25">
        <v>1461282400</v>
      </c>
      <c r="AP119" s="23"/>
      <c r="AQ119" s="13" t="s">
        <v>350</v>
      </c>
      <c r="AR119" s="23"/>
      <c r="AS119" s="23"/>
      <c r="AT119" s="28"/>
    </row>
    <row r="120" spans="1:46" ht="16" x14ac:dyDescent="0.2">
      <c r="A120" s="2" t="s">
        <v>31</v>
      </c>
      <c r="B120" s="1" t="s">
        <v>1002</v>
      </c>
      <c r="C120" s="13" t="s">
        <v>350</v>
      </c>
      <c r="D120" s="1" t="s">
        <v>28</v>
      </c>
      <c r="E120" s="14">
        <v>43370</v>
      </c>
      <c r="F120" s="2" t="s">
        <v>29</v>
      </c>
      <c r="G120" s="2" t="s">
        <v>1003</v>
      </c>
      <c r="H120" s="2" t="s">
        <v>1002</v>
      </c>
      <c r="I120" s="2" t="s">
        <v>1004</v>
      </c>
      <c r="J120" s="2" t="s">
        <v>353</v>
      </c>
      <c r="K120" s="2">
        <v>186.32</v>
      </c>
      <c r="L120" s="2">
        <v>3726.3999999999996</v>
      </c>
      <c r="M120" s="2" t="s">
        <v>1005</v>
      </c>
      <c r="N120" s="2" t="s">
        <v>35</v>
      </c>
      <c r="O120" s="2">
        <v>28.48</v>
      </c>
      <c r="P120" s="9">
        <f t="shared" si="3"/>
        <v>996.80000000000007</v>
      </c>
      <c r="Q120" s="2" t="s">
        <v>1006</v>
      </c>
      <c r="R120" s="2" t="s">
        <v>37</v>
      </c>
      <c r="S120" s="9" t="s">
        <v>1007</v>
      </c>
      <c r="T120" s="9" t="s">
        <v>605</v>
      </c>
      <c r="U120" s="9" t="s">
        <v>98</v>
      </c>
      <c r="V120" s="9">
        <v>7</v>
      </c>
      <c r="Y120" s="2" t="s">
        <v>1008</v>
      </c>
      <c r="Z120" s="17" t="s">
        <v>607</v>
      </c>
      <c r="AA120" s="18" t="s">
        <v>506</v>
      </c>
      <c r="AB120" s="18" t="s">
        <v>972</v>
      </c>
      <c r="AC120" s="18" t="s">
        <v>973</v>
      </c>
      <c r="AD120" s="18" t="s">
        <v>655</v>
      </c>
      <c r="AE120" s="18" t="s">
        <v>656</v>
      </c>
      <c r="AG120" s="23">
        <v>346</v>
      </c>
      <c r="AH120" s="23" t="s">
        <v>1008</v>
      </c>
      <c r="AI120" s="23" t="s">
        <v>1642</v>
      </c>
      <c r="AJ120" s="23" t="s">
        <v>973</v>
      </c>
      <c r="AK120" s="23" t="s">
        <v>656</v>
      </c>
      <c r="AL120" s="23">
        <v>0.49469999999999997</v>
      </c>
      <c r="AM120" s="24">
        <f t="shared" si="2"/>
        <v>7228964.0328000002</v>
      </c>
      <c r="AN120" s="23"/>
      <c r="AO120" s="25">
        <v>1461282400</v>
      </c>
      <c r="AP120" s="23"/>
      <c r="AQ120" s="13" t="s">
        <v>350</v>
      </c>
      <c r="AR120" s="23"/>
      <c r="AS120" s="23"/>
      <c r="AT120" s="28"/>
    </row>
    <row r="121" spans="1:46" ht="16" x14ac:dyDescent="0.2">
      <c r="A121" s="2" t="s">
        <v>31</v>
      </c>
      <c r="B121" s="1" t="s">
        <v>1009</v>
      </c>
      <c r="C121" s="13" t="s">
        <v>350</v>
      </c>
      <c r="D121" s="1" t="s">
        <v>28</v>
      </c>
      <c r="E121" s="14">
        <v>43370</v>
      </c>
      <c r="F121" s="2" t="s">
        <v>29</v>
      </c>
      <c r="G121" s="2" t="s">
        <v>1010</v>
      </c>
      <c r="H121" s="2" t="s">
        <v>1009</v>
      </c>
      <c r="I121" s="2" t="s">
        <v>1011</v>
      </c>
      <c r="J121" s="2" t="s">
        <v>353</v>
      </c>
      <c r="K121" s="2">
        <v>409.76</v>
      </c>
      <c r="L121" s="2">
        <v>8195.2000000000007</v>
      </c>
      <c r="M121" s="2" t="s">
        <v>1012</v>
      </c>
      <c r="N121" s="2" t="s">
        <v>35</v>
      </c>
      <c r="O121" s="2">
        <v>27.76</v>
      </c>
      <c r="P121" s="9">
        <f t="shared" si="3"/>
        <v>971.6</v>
      </c>
      <c r="Q121" s="2" t="s">
        <v>1013</v>
      </c>
      <c r="R121" s="2" t="s">
        <v>37</v>
      </c>
      <c r="S121" s="9" t="s">
        <v>1014</v>
      </c>
      <c r="T121" s="9" t="s">
        <v>605</v>
      </c>
      <c r="U121" s="9" t="s">
        <v>109</v>
      </c>
      <c r="V121" s="9">
        <v>7</v>
      </c>
      <c r="Y121" s="2" t="s">
        <v>1015</v>
      </c>
      <c r="Z121" s="17" t="s">
        <v>607</v>
      </c>
      <c r="AA121" s="18" t="s">
        <v>514</v>
      </c>
      <c r="AB121" s="18" t="s">
        <v>972</v>
      </c>
      <c r="AC121" s="18" t="s">
        <v>973</v>
      </c>
      <c r="AD121" s="18" t="s">
        <v>664</v>
      </c>
      <c r="AE121" s="18" t="s">
        <v>665</v>
      </c>
      <c r="AG121" s="23">
        <v>347</v>
      </c>
      <c r="AH121" s="23" t="s">
        <v>1015</v>
      </c>
      <c r="AI121" s="23" t="s">
        <v>1642</v>
      </c>
      <c r="AJ121" s="23" t="s">
        <v>973</v>
      </c>
      <c r="AK121" s="23" t="s">
        <v>665</v>
      </c>
      <c r="AL121" s="23">
        <v>0.35820000000000002</v>
      </c>
      <c r="AM121" s="24">
        <f t="shared" si="2"/>
        <v>5234313.5568000004</v>
      </c>
      <c r="AN121" s="23"/>
      <c r="AO121" s="25">
        <v>1461282400</v>
      </c>
      <c r="AP121" s="23"/>
      <c r="AQ121" s="13" t="s">
        <v>350</v>
      </c>
      <c r="AR121" s="23"/>
      <c r="AS121" s="23"/>
      <c r="AT121" s="28"/>
    </row>
    <row r="122" spans="1:46" ht="16" x14ac:dyDescent="0.2">
      <c r="A122" s="2" t="s">
        <v>31</v>
      </c>
      <c r="B122" s="1" t="s">
        <v>1016</v>
      </c>
      <c r="C122" s="13" t="s">
        <v>350</v>
      </c>
      <c r="D122" s="1" t="s">
        <v>28</v>
      </c>
      <c r="E122" s="14">
        <v>43370</v>
      </c>
      <c r="F122" s="2" t="s">
        <v>29</v>
      </c>
      <c r="G122" s="2" t="s">
        <v>1017</v>
      </c>
      <c r="H122" s="2" t="s">
        <v>1016</v>
      </c>
      <c r="I122" s="2" t="s">
        <v>1018</v>
      </c>
      <c r="J122" s="2" t="s">
        <v>353</v>
      </c>
      <c r="K122" s="2">
        <v>102.96</v>
      </c>
      <c r="L122" s="2">
        <v>2059.1999999999998</v>
      </c>
      <c r="M122" s="2" t="s">
        <v>1019</v>
      </c>
      <c r="N122" s="2" t="s">
        <v>35</v>
      </c>
      <c r="O122" s="2">
        <v>21.76</v>
      </c>
      <c r="P122" s="9">
        <f t="shared" si="3"/>
        <v>761.6</v>
      </c>
      <c r="Q122" s="2" t="s">
        <v>1020</v>
      </c>
      <c r="R122" s="2" t="s">
        <v>37</v>
      </c>
      <c r="S122" s="9" t="s">
        <v>1021</v>
      </c>
      <c r="T122" s="9" t="s">
        <v>605</v>
      </c>
      <c r="U122" s="9" t="s">
        <v>120</v>
      </c>
      <c r="V122" s="9">
        <v>7</v>
      </c>
      <c r="Y122" s="2" t="s">
        <v>1022</v>
      </c>
      <c r="Z122" s="17" t="s">
        <v>607</v>
      </c>
      <c r="AA122" s="18" t="s">
        <v>522</v>
      </c>
      <c r="AB122" s="18" t="s">
        <v>972</v>
      </c>
      <c r="AC122" s="18" t="s">
        <v>973</v>
      </c>
      <c r="AD122" s="18" t="s">
        <v>673</v>
      </c>
      <c r="AE122" s="18" t="s">
        <v>674</v>
      </c>
      <c r="AG122" s="23">
        <v>348</v>
      </c>
      <c r="AH122" s="23" t="s">
        <v>1022</v>
      </c>
      <c r="AI122" s="23" t="s">
        <v>1642</v>
      </c>
      <c r="AJ122" s="23" t="s">
        <v>973</v>
      </c>
      <c r="AK122" s="23" t="s">
        <v>674</v>
      </c>
      <c r="AL122" s="23">
        <v>0.4047</v>
      </c>
      <c r="AM122" s="24">
        <f t="shared" si="2"/>
        <v>5913809.8728</v>
      </c>
      <c r="AN122" s="23"/>
      <c r="AO122" s="25">
        <v>1461282400</v>
      </c>
      <c r="AP122" s="23"/>
      <c r="AQ122" s="13" t="s">
        <v>350</v>
      </c>
      <c r="AR122" s="23"/>
      <c r="AS122" s="23"/>
      <c r="AT122" s="28"/>
    </row>
    <row r="123" spans="1:46" ht="16" x14ac:dyDescent="0.2">
      <c r="A123" s="2" t="s">
        <v>31</v>
      </c>
      <c r="B123" s="1" t="s">
        <v>1023</v>
      </c>
      <c r="C123" s="13" t="s">
        <v>350</v>
      </c>
      <c r="D123" s="1" t="s">
        <v>28</v>
      </c>
      <c r="E123" s="14">
        <v>43370</v>
      </c>
      <c r="F123" s="2" t="s">
        <v>29</v>
      </c>
      <c r="G123" s="2" t="s">
        <v>1024</v>
      </c>
      <c r="H123" s="2" t="s">
        <v>1023</v>
      </c>
      <c r="I123" s="2" t="s">
        <v>1025</v>
      </c>
      <c r="J123" s="2" t="s">
        <v>353</v>
      </c>
      <c r="K123" s="2">
        <v>143.19999999999999</v>
      </c>
      <c r="L123" s="2">
        <v>2864</v>
      </c>
      <c r="M123" s="2" t="s">
        <v>1026</v>
      </c>
      <c r="N123" s="2" t="s">
        <v>35</v>
      </c>
      <c r="O123" s="2">
        <v>31.44</v>
      </c>
      <c r="P123" s="9">
        <f t="shared" si="3"/>
        <v>1100.4000000000001</v>
      </c>
      <c r="Q123" s="2" t="s">
        <v>1027</v>
      </c>
      <c r="R123" s="2" t="s">
        <v>37</v>
      </c>
      <c r="S123" s="9" t="s">
        <v>1028</v>
      </c>
      <c r="T123" s="9" t="s">
        <v>605</v>
      </c>
      <c r="U123" s="9" t="s">
        <v>40</v>
      </c>
      <c r="V123" s="9">
        <v>8</v>
      </c>
      <c r="Y123" s="2" t="s">
        <v>1029</v>
      </c>
      <c r="Z123" s="17" t="s">
        <v>607</v>
      </c>
      <c r="AA123" s="18" t="s">
        <v>530</v>
      </c>
      <c r="AB123" s="18" t="s">
        <v>1030</v>
      </c>
      <c r="AC123" s="18" t="s">
        <v>1031</v>
      </c>
      <c r="AD123" s="18" t="s">
        <v>610</v>
      </c>
      <c r="AE123" s="18" t="s">
        <v>611</v>
      </c>
      <c r="AG123" s="23">
        <v>349</v>
      </c>
      <c r="AH123" s="23" t="s">
        <v>1029</v>
      </c>
      <c r="AI123" s="23" t="s">
        <v>1642</v>
      </c>
      <c r="AJ123" s="23" t="s">
        <v>1031</v>
      </c>
      <c r="AK123" s="23" t="s">
        <v>611</v>
      </c>
      <c r="AL123" s="23">
        <v>0.40029999999999999</v>
      </c>
      <c r="AM123" s="24">
        <f t="shared" si="2"/>
        <v>5849513.4472000003</v>
      </c>
      <c r="AN123" s="23"/>
      <c r="AO123" s="25">
        <v>1461282400</v>
      </c>
      <c r="AP123" s="23"/>
      <c r="AQ123" s="13" t="s">
        <v>350</v>
      </c>
      <c r="AR123" s="23"/>
      <c r="AS123" s="23"/>
      <c r="AT123" s="28"/>
    </row>
    <row r="124" spans="1:46" ht="16" x14ac:dyDescent="0.2">
      <c r="A124" s="2" t="s">
        <v>31</v>
      </c>
      <c r="B124" s="1" t="s">
        <v>1032</v>
      </c>
      <c r="C124" s="13" t="s">
        <v>350</v>
      </c>
      <c r="D124" s="1" t="s">
        <v>28</v>
      </c>
      <c r="E124" s="14">
        <v>43370</v>
      </c>
      <c r="F124" s="2" t="s">
        <v>29</v>
      </c>
      <c r="G124" s="2" t="s">
        <v>1033</v>
      </c>
      <c r="H124" s="2" t="s">
        <v>1032</v>
      </c>
      <c r="I124" s="2" t="s">
        <v>1034</v>
      </c>
      <c r="J124" s="2" t="s">
        <v>353</v>
      </c>
      <c r="K124" s="2">
        <v>892.72</v>
      </c>
      <c r="L124" s="2">
        <v>17854.400000000001</v>
      </c>
      <c r="M124" s="2" t="s">
        <v>1035</v>
      </c>
      <c r="N124" s="2" t="s">
        <v>35</v>
      </c>
      <c r="O124" s="2">
        <v>199.36</v>
      </c>
      <c r="P124" s="9">
        <f t="shared" si="3"/>
        <v>6977.6</v>
      </c>
      <c r="Q124" s="2" t="s">
        <v>1036</v>
      </c>
      <c r="R124" s="2" t="s">
        <v>37</v>
      </c>
      <c r="S124" s="9" t="s">
        <v>1037</v>
      </c>
      <c r="T124" s="9" t="s">
        <v>605</v>
      </c>
      <c r="U124" s="9" t="s">
        <v>54</v>
      </c>
      <c r="V124" s="9">
        <v>8</v>
      </c>
      <c r="Y124" s="2" t="s">
        <v>1038</v>
      </c>
      <c r="Z124" s="17" t="s">
        <v>607</v>
      </c>
      <c r="AA124" s="18" t="s">
        <v>540</v>
      </c>
      <c r="AB124" s="18" t="s">
        <v>1030</v>
      </c>
      <c r="AC124" s="18" t="s">
        <v>1031</v>
      </c>
      <c r="AD124" s="18" t="s">
        <v>619</v>
      </c>
      <c r="AE124" s="18" t="s">
        <v>620</v>
      </c>
      <c r="AG124" s="23">
        <v>350</v>
      </c>
      <c r="AH124" s="23" t="s">
        <v>1038</v>
      </c>
      <c r="AI124" s="23" t="s">
        <v>1642</v>
      </c>
      <c r="AJ124" s="23" t="s">
        <v>1031</v>
      </c>
      <c r="AK124" s="23" t="s">
        <v>620</v>
      </c>
      <c r="AL124" s="23">
        <v>0.32379999999999998</v>
      </c>
      <c r="AM124" s="24">
        <f t="shared" si="2"/>
        <v>4731632.411199999</v>
      </c>
      <c r="AN124" s="23"/>
      <c r="AO124" s="25">
        <v>1461282400</v>
      </c>
      <c r="AP124" s="23"/>
      <c r="AQ124" s="13" t="s">
        <v>350</v>
      </c>
      <c r="AR124" s="23"/>
      <c r="AS124" s="23"/>
      <c r="AT124" s="28"/>
    </row>
    <row r="125" spans="1:46" ht="16" x14ac:dyDescent="0.2">
      <c r="A125" s="2" t="s">
        <v>31</v>
      </c>
      <c r="B125" s="1" t="s">
        <v>1039</v>
      </c>
      <c r="C125" s="13" t="s">
        <v>350</v>
      </c>
      <c r="D125" s="1" t="s">
        <v>28</v>
      </c>
      <c r="E125" s="14">
        <v>43370</v>
      </c>
      <c r="F125" s="2" t="s">
        <v>29</v>
      </c>
      <c r="G125" s="2" t="s">
        <v>1040</v>
      </c>
      <c r="H125" s="2" t="s">
        <v>1039</v>
      </c>
      <c r="I125" s="2" t="s">
        <v>1041</v>
      </c>
      <c r="J125" s="2" t="s">
        <v>353</v>
      </c>
      <c r="K125" s="2">
        <v>178.72</v>
      </c>
      <c r="L125" s="2">
        <v>3574.4</v>
      </c>
      <c r="M125" s="2" t="s">
        <v>1042</v>
      </c>
      <c r="N125" s="2" t="s">
        <v>35</v>
      </c>
      <c r="O125" s="2">
        <v>30.4</v>
      </c>
      <c r="P125" s="9">
        <f t="shared" si="3"/>
        <v>1064</v>
      </c>
      <c r="Q125" s="2" t="s">
        <v>1043</v>
      </c>
      <c r="R125" s="2" t="s">
        <v>37</v>
      </c>
      <c r="S125" s="9" t="s">
        <v>1044</v>
      </c>
      <c r="T125" s="9" t="s">
        <v>605</v>
      </c>
      <c r="U125" s="9" t="s">
        <v>65</v>
      </c>
      <c r="V125" s="9">
        <v>8</v>
      </c>
      <c r="Y125" s="2" t="s">
        <v>1045</v>
      </c>
      <c r="Z125" s="17" t="s">
        <v>607</v>
      </c>
      <c r="AA125" s="18" t="s">
        <v>548</v>
      </c>
      <c r="AB125" s="18" t="s">
        <v>1030</v>
      </c>
      <c r="AC125" s="18" t="s">
        <v>1031</v>
      </c>
      <c r="AD125" s="18" t="s">
        <v>628</v>
      </c>
      <c r="AE125" s="18" t="s">
        <v>629</v>
      </c>
      <c r="AG125" s="23">
        <v>351</v>
      </c>
      <c r="AH125" s="23" t="s">
        <v>1045</v>
      </c>
      <c r="AI125" s="23" t="s">
        <v>1642</v>
      </c>
      <c r="AJ125" s="23" t="s">
        <v>1031</v>
      </c>
      <c r="AK125" s="23" t="s">
        <v>629</v>
      </c>
      <c r="AL125" s="23">
        <v>0.28599999999999998</v>
      </c>
      <c r="AM125" s="24">
        <f t="shared" si="2"/>
        <v>4179267.6639999999</v>
      </c>
      <c r="AN125" s="23"/>
      <c r="AO125" s="25">
        <v>1461282400</v>
      </c>
      <c r="AP125" s="23"/>
      <c r="AQ125" s="13" t="s">
        <v>350</v>
      </c>
      <c r="AR125" s="23"/>
      <c r="AS125" s="23"/>
      <c r="AT125" s="28"/>
    </row>
    <row r="126" spans="1:46" ht="16" x14ac:dyDescent="0.2">
      <c r="A126" s="2" t="s">
        <v>31</v>
      </c>
      <c r="B126" s="1" t="s">
        <v>1046</v>
      </c>
      <c r="C126" s="13" t="s">
        <v>350</v>
      </c>
      <c r="D126" s="1" t="s">
        <v>28</v>
      </c>
      <c r="E126" s="14">
        <v>43370</v>
      </c>
      <c r="F126" s="2" t="s">
        <v>29</v>
      </c>
      <c r="G126" s="2" t="s">
        <v>1047</v>
      </c>
      <c r="H126" s="2" t="s">
        <v>1046</v>
      </c>
      <c r="I126" s="2" t="s">
        <v>1048</v>
      </c>
      <c r="J126" s="2" t="s">
        <v>353</v>
      </c>
      <c r="K126" s="2">
        <v>298.8</v>
      </c>
      <c r="L126" s="2">
        <v>5976</v>
      </c>
      <c r="M126" s="2" t="s">
        <v>1049</v>
      </c>
      <c r="N126" s="2" t="s">
        <v>35</v>
      </c>
      <c r="O126" s="2">
        <v>30.32</v>
      </c>
      <c r="P126" s="9">
        <f t="shared" si="3"/>
        <v>1061.2</v>
      </c>
      <c r="Q126" s="2" t="s">
        <v>1050</v>
      </c>
      <c r="R126" s="2" t="s">
        <v>37</v>
      </c>
      <c r="S126" s="9" t="s">
        <v>1051</v>
      </c>
      <c r="T126" s="9" t="s">
        <v>605</v>
      </c>
      <c r="U126" s="9" t="s">
        <v>76</v>
      </c>
      <c r="V126" s="9">
        <v>8</v>
      </c>
      <c r="Y126" s="2" t="s">
        <v>1052</v>
      </c>
      <c r="Z126" s="17" t="s">
        <v>607</v>
      </c>
      <c r="AA126" s="18" t="s">
        <v>556</v>
      </c>
      <c r="AB126" s="18" t="s">
        <v>1030</v>
      </c>
      <c r="AC126" s="18" t="s">
        <v>1031</v>
      </c>
      <c r="AD126" s="18" t="s">
        <v>637</v>
      </c>
      <c r="AE126" s="18" t="s">
        <v>638</v>
      </c>
      <c r="AG126" s="23">
        <v>352</v>
      </c>
      <c r="AH126" s="23" t="s">
        <v>1052</v>
      </c>
      <c r="AI126" s="23" t="s">
        <v>1642</v>
      </c>
      <c r="AJ126" s="23" t="s">
        <v>1031</v>
      </c>
      <c r="AK126" s="23" t="s">
        <v>638</v>
      </c>
      <c r="AL126" s="23">
        <v>0.48830000000000001</v>
      </c>
      <c r="AM126" s="24">
        <f t="shared" si="2"/>
        <v>7135441.9592000004</v>
      </c>
      <c r="AN126" s="23"/>
      <c r="AO126" s="25">
        <v>1461282400</v>
      </c>
      <c r="AP126" s="23"/>
      <c r="AQ126" s="13" t="s">
        <v>350</v>
      </c>
      <c r="AR126" s="23"/>
      <c r="AS126" s="23"/>
      <c r="AT126" s="28"/>
    </row>
    <row r="127" spans="1:46" ht="16" x14ac:dyDescent="0.2">
      <c r="A127" s="2" t="s">
        <v>31</v>
      </c>
      <c r="B127" s="1" t="s">
        <v>1053</v>
      </c>
      <c r="C127" s="13" t="s">
        <v>350</v>
      </c>
      <c r="D127" s="1" t="s">
        <v>28</v>
      </c>
      <c r="E127" s="14">
        <v>43370</v>
      </c>
      <c r="F127" s="2" t="s">
        <v>29</v>
      </c>
      <c r="G127" s="2" t="s">
        <v>1054</v>
      </c>
      <c r="H127" s="2" t="s">
        <v>1053</v>
      </c>
      <c r="I127" s="2" t="s">
        <v>1055</v>
      </c>
      <c r="J127" s="2" t="s">
        <v>353</v>
      </c>
      <c r="K127" s="2">
        <v>258</v>
      </c>
      <c r="L127" s="2">
        <v>5160</v>
      </c>
      <c r="M127" s="2" t="s">
        <v>1056</v>
      </c>
      <c r="N127" s="2" t="s">
        <v>35</v>
      </c>
      <c r="O127" s="2">
        <v>32.32</v>
      </c>
      <c r="P127" s="9">
        <f t="shared" si="3"/>
        <v>1131.2</v>
      </c>
      <c r="Q127" s="2" t="s">
        <v>1057</v>
      </c>
      <c r="R127" s="2" t="s">
        <v>37</v>
      </c>
      <c r="S127" s="9" t="s">
        <v>1058</v>
      </c>
      <c r="T127" s="9" t="s">
        <v>605</v>
      </c>
      <c r="U127" s="9" t="s">
        <v>87</v>
      </c>
      <c r="V127" s="9">
        <v>8</v>
      </c>
      <c r="Y127" s="2" t="s">
        <v>1059</v>
      </c>
      <c r="Z127" s="17" t="s">
        <v>607</v>
      </c>
      <c r="AA127" s="18" t="s">
        <v>564</v>
      </c>
      <c r="AB127" s="18" t="s">
        <v>1030</v>
      </c>
      <c r="AC127" s="18" t="s">
        <v>1031</v>
      </c>
      <c r="AD127" s="18" t="s">
        <v>646</v>
      </c>
      <c r="AE127" s="18" t="s">
        <v>647</v>
      </c>
      <c r="AG127" s="23">
        <v>353</v>
      </c>
      <c r="AH127" s="23" t="s">
        <v>1059</v>
      </c>
      <c r="AI127" s="23" t="s">
        <v>1642</v>
      </c>
      <c r="AJ127" s="23" t="s">
        <v>1031</v>
      </c>
      <c r="AK127" s="23" t="s">
        <v>647</v>
      </c>
      <c r="AL127" s="23">
        <v>0.51649999999999996</v>
      </c>
      <c r="AM127" s="24">
        <f t="shared" si="2"/>
        <v>7547523.595999999</v>
      </c>
      <c r="AN127" s="23"/>
      <c r="AO127" s="25">
        <v>1461282400</v>
      </c>
      <c r="AP127" s="23"/>
      <c r="AQ127" s="13" t="s">
        <v>350</v>
      </c>
      <c r="AR127" s="23"/>
      <c r="AS127" s="23"/>
      <c r="AT127" s="28"/>
    </row>
    <row r="128" spans="1:46" ht="16" x14ac:dyDescent="0.2">
      <c r="A128" s="2" t="s">
        <v>31</v>
      </c>
      <c r="B128" s="1" t="s">
        <v>1060</v>
      </c>
      <c r="C128" s="13" t="s">
        <v>350</v>
      </c>
      <c r="D128" s="1" t="s">
        <v>28</v>
      </c>
      <c r="E128" s="14">
        <v>43370</v>
      </c>
      <c r="F128" s="2" t="s">
        <v>29</v>
      </c>
      <c r="G128" s="2" t="s">
        <v>1061</v>
      </c>
      <c r="H128" s="2" t="s">
        <v>1060</v>
      </c>
      <c r="I128" s="2" t="s">
        <v>1062</v>
      </c>
      <c r="J128" s="2" t="s">
        <v>353</v>
      </c>
      <c r="K128" s="2">
        <v>171.84</v>
      </c>
      <c r="L128" s="2">
        <v>3436.8</v>
      </c>
      <c r="M128" s="2" t="s">
        <v>1063</v>
      </c>
      <c r="N128" s="2" t="s">
        <v>35</v>
      </c>
      <c r="O128" s="2">
        <v>30.24</v>
      </c>
      <c r="P128" s="9">
        <f t="shared" si="3"/>
        <v>1058.3999999999999</v>
      </c>
      <c r="Q128" s="2" t="s">
        <v>1064</v>
      </c>
      <c r="R128" s="2" t="s">
        <v>37</v>
      </c>
      <c r="S128" s="9" t="s">
        <v>1065</v>
      </c>
      <c r="T128" s="9" t="s">
        <v>605</v>
      </c>
      <c r="U128" s="9" t="s">
        <v>98</v>
      </c>
      <c r="V128" s="9">
        <v>8</v>
      </c>
      <c r="Y128" s="2" t="s">
        <v>1066</v>
      </c>
      <c r="Z128" s="17" t="s">
        <v>607</v>
      </c>
      <c r="AA128" s="18" t="s">
        <v>572</v>
      </c>
      <c r="AB128" s="18" t="s">
        <v>1030</v>
      </c>
      <c r="AC128" s="18" t="s">
        <v>1031</v>
      </c>
      <c r="AD128" s="18" t="s">
        <v>655</v>
      </c>
      <c r="AE128" s="18" t="s">
        <v>656</v>
      </c>
      <c r="AG128" s="23">
        <v>354</v>
      </c>
      <c r="AH128" s="23" t="s">
        <v>1066</v>
      </c>
      <c r="AI128" s="23" t="s">
        <v>1642</v>
      </c>
      <c r="AJ128" s="23" t="s">
        <v>1031</v>
      </c>
      <c r="AK128" s="23" t="s">
        <v>656</v>
      </c>
      <c r="AL128" s="23">
        <v>0.42159999999999997</v>
      </c>
      <c r="AM128" s="24">
        <f t="shared" si="2"/>
        <v>6160766.5983999996</v>
      </c>
      <c r="AN128" s="23"/>
      <c r="AO128" s="25">
        <v>1461282400</v>
      </c>
      <c r="AP128" s="23"/>
      <c r="AQ128" s="13" t="s">
        <v>350</v>
      </c>
      <c r="AR128" s="23"/>
      <c r="AS128" s="23"/>
      <c r="AT128" s="28"/>
    </row>
    <row r="129" spans="1:182" ht="16" x14ac:dyDescent="0.2">
      <c r="A129" s="2" t="s">
        <v>31</v>
      </c>
      <c r="B129" s="1" t="s">
        <v>1067</v>
      </c>
      <c r="C129" s="13" t="s">
        <v>350</v>
      </c>
      <c r="D129" s="1" t="s">
        <v>28</v>
      </c>
      <c r="E129" s="14">
        <v>43370</v>
      </c>
      <c r="F129" s="2" t="s">
        <v>29</v>
      </c>
      <c r="G129" s="2" t="s">
        <v>1068</v>
      </c>
      <c r="H129" s="2" t="s">
        <v>1067</v>
      </c>
      <c r="I129" s="2" t="s">
        <v>1069</v>
      </c>
      <c r="J129" s="2" t="s">
        <v>353</v>
      </c>
      <c r="K129" s="2">
        <v>186.96</v>
      </c>
      <c r="L129" s="2">
        <v>3739.2000000000003</v>
      </c>
      <c r="M129" s="2" t="s">
        <v>1070</v>
      </c>
      <c r="N129" s="2" t="s">
        <v>35</v>
      </c>
      <c r="O129" s="2">
        <v>30.48</v>
      </c>
      <c r="P129" s="9">
        <f t="shared" si="3"/>
        <v>1066.8</v>
      </c>
      <c r="Q129" s="2" t="s">
        <v>1071</v>
      </c>
      <c r="R129" s="2" t="s">
        <v>37</v>
      </c>
      <c r="S129" s="9" t="s">
        <v>1072</v>
      </c>
      <c r="T129" s="9" t="s">
        <v>605</v>
      </c>
      <c r="U129" s="9" t="s">
        <v>109</v>
      </c>
      <c r="V129" s="9">
        <v>8</v>
      </c>
      <c r="Y129" s="2" t="s">
        <v>1073</v>
      </c>
      <c r="Z129" s="17" t="s">
        <v>607</v>
      </c>
      <c r="AA129" s="18" t="s">
        <v>580</v>
      </c>
      <c r="AB129" s="18" t="s">
        <v>1030</v>
      </c>
      <c r="AC129" s="18" t="s">
        <v>1031</v>
      </c>
      <c r="AD129" s="18" t="s">
        <v>664</v>
      </c>
      <c r="AE129" s="18" t="s">
        <v>665</v>
      </c>
      <c r="AG129" s="23">
        <v>355</v>
      </c>
      <c r="AH129" s="23" t="s">
        <v>1073</v>
      </c>
      <c r="AI129" s="23" t="s">
        <v>1642</v>
      </c>
      <c r="AJ129" s="23" t="s">
        <v>1031</v>
      </c>
      <c r="AK129" s="23" t="s">
        <v>665</v>
      </c>
      <c r="AL129" s="23">
        <v>0.44419999999999998</v>
      </c>
      <c r="AM129" s="24">
        <f t="shared" si="2"/>
        <v>6491016.4207999995</v>
      </c>
      <c r="AN129" s="23"/>
      <c r="AO129" s="25">
        <v>1461282400</v>
      </c>
      <c r="AP129" s="23"/>
      <c r="AQ129" s="13" t="s">
        <v>350</v>
      </c>
      <c r="AR129" s="23"/>
      <c r="AS129" s="23"/>
      <c r="AT129" s="28"/>
    </row>
    <row r="130" spans="1:182" ht="16" x14ac:dyDescent="0.2">
      <c r="A130" s="2" t="s">
        <v>31</v>
      </c>
      <c r="B130" s="1" t="s">
        <v>1074</v>
      </c>
      <c r="C130" s="13" t="s">
        <v>350</v>
      </c>
      <c r="D130" s="1" t="s">
        <v>28</v>
      </c>
      <c r="E130" s="14">
        <v>43370</v>
      </c>
      <c r="F130" s="2" t="s">
        <v>29</v>
      </c>
      <c r="G130" s="2" t="s">
        <v>1075</v>
      </c>
      <c r="H130" s="2" t="s">
        <v>1074</v>
      </c>
      <c r="I130" s="2" t="s">
        <v>1076</v>
      </c>
      <c r="J130" s="2" t="s">
        <v>353</v>
      </c>
      <c r="K130" s="2">
        <v>411.68</v>
      </c>
      <c r="L130" s="2">
        <v>8233.6</v>
      </c>
      <c r="M130" s="2" t="s">
        <v>1077</v>
      </c>
      <c r="N130" s="2" t="s">
        <v>35</v>
      </c>
      <c r="O130" s="2">
        <v>28.08</v>
      </c>
      <c r="P130" s="9">
        <f t="shared" si="3"/>
        <v>982.8</v>
      </c>
      <c r="Q130" s="2" t="s">
        <v>1078</v>
      </c>
      <c r="R130" s="2" t="s">
        <v>37</v>
      </c>
      <c r="S130" s="9" t="s">
        <v>1079</v>
      </c>
      <c r="T130" s="9" t="s">
        <v>605</v>
      </c>
      <c r="U130" s="9" t="s">
        <v>120</v>
      </c>
      <c r="V130" s="9">
        <v>8</v>
      </c>
      <c r="Y130" s="2" t="s">
        <v>1080</v>
      </c>
      <c r="Z130" s="17" t="s">
        <v>607</v>
      </c>
      <c r="AA130" s="18" t="s">
        <v>588</v>
      </c>
      <c r="AB130" s="18" t="s">
        <v>1030</v>
      </c>
      <c r="AC130" s="18" t="s">
        <v>1031</v>
      </c>
      <c r="AD130" s="18" t="s">
        <v>673</v>
      </c>
      <c r="AE130" s="18" t="s">
        <v>674</v>
      </c>
      <c r="AG130" s="23">
        <v>356</v>
      </c>
      <c r="AH130" s="23" t="s">
        <v>1080</v>
      </c>
      <c r="AI130" s="23" t="s">
        <v>1642</v>
      </c>
      <c r="AJ130" s="23" t="s">
        <v>1031</v>
      </c>
      <c r="AK130" s="23" t="s">
        <v>674</v>
      </c>
      <c r="AL130" s="23">
        <v>0.44500000000000001</v>
      </c>
      <c r="AM130" s="24">
        <f t="shared" si="2"/>
        <v>6502706.6799999997</v>
      </c>
      <c r="AN130" s="23"/>
      <c r="AO130" s="25">
        <v>1461282400</v>
      </c>
      <c r="AP130" s="23"/>
      <c r="AQ130" s="13" t="s">
        <v>350</v>
      </c>
      <c r="AR130" s="23"/>
      <c r="AS130" s="23"/>
    </row>
    <row r="131" spans="1:182" ht="16" x14ac:dyDescent="0.2">
      <c r="A131" s="2" t="s">
        <v>31</v>
      </c>
      <c r="B131" s="1" t="s">
        <v>1081</v>
      </c>
      <c r="C131" s="13" t="s">
        <v>350</v>
      </c>
      <c r="D131" s="1" t="s">
        <v>28</v>
      </c>
      <c r="E131" s="14">
        <v>43370</v>
      </c>
      <c r="F131" s="2" t="s">
        <v>29</v>
      </c>
      <c r="G131" s="2" t="s">
        <v>1082</v>
      </c>
      <c r="H131" s="2" t="s">
        <v>1081</v>
      </c>
      <c r="I131" s="2" t="s">
        <v>1083</v>
      </c>
      <c r="J131" s="2" t="s">
        <v>353</v>
      </c>
      <c r="K131" s="2">
        <v>259.60000000000002</v>
      </c>
      <c r="L131" s="2">
        <v>5192</v>
      </c>
      <c r="M131" s="2" t="s">
        <v>1084</v>
      </c>
      <c r="N131" s="2" t="s">
        <v>35</v>
      </c>
      <c r="O131" s="2">
        <v>28.08</v>
      </c>
      <c r="P131" s="9">
        <f t="shared" si="3"/>
        <v>982.8</v>
      </c>
      <c r="Q131" s="2" t="s">
        <v>1085</v>
      </c>
      <c r="R131" s="2" t="s">
        <v>37</v>
      </c>
      <c r="S131" s="9" t="s">
        <v>1086</v>
      </c>
      <c r="T131" s="9" t="s">
        <v>605</v>
      </c>
      <c r="U131" s="9" t="s">
        <v>40</v>
      </c>
      <c r="V131" s="9">
        <v>9</v>
      </c>
      <c r="Y131" s="2" t="s">
        <v>1087</v>
      </c>
      <c r="Z131" s="17" t="s">
        <v>607</v>
      </c>
      <c r="AA131" s="18" t="s">
        <v>596</v>
      </c>
      <c r="AB131" s="18" t="s">
        <v>1088</v>
      </c>
      <c r="AC131" s="18" t="s">
        <v>1089</v>
      </c>
      <c r="AD131" s="18" t="s">
        <v>610</v>
      </c>
      <c r="AE131" s="18" t="s">
        <v>611</v>
      </c>
      <c r="AG131" s="23">
        <v>357</v>
      </c>
      <c r="AH131" s="23" t="s">
        <v>1087</v>
      </c>
      <c r="AI131" s="23" t="s">
        <v>1642</v>
      </c>
      <c r="AJ131" s="23" t="s">
        <v>1089</v>
      </c>
      <c r="AK131" s="23" t="s">
        <v>611</v>
      </c>
      <c r="AL131" s="23">
        <v>0.53900000000000003</v>
      </c>
      <c r="AM131" s="24">
        <f t="shared" ref="AM131:AM194" si="4">AL131*AO131/100</f>
        <v>7876312.1359999999</v>
      </c>
      <c r="AN131" s="23"/>
      <c r="AO131" s="25">
        <v>1461282400</v>
      </c>
      <c r="AP131" s="23"/>
      <c r="AQ131" s="13" t="s">
        <v>350</v>
      </c>
      <c r="AR131" s="23"/>
      <c r="AS131" s="23"/>
    </row>
    <row r="132" spans="1:182" ht="16" x14ac:dyDescent="0.2">
      <c r="A132" s="2" t="s">
        <v>31</v>
      </c>
      <c r="B132" s="1" t="s">
        <v>1090</v>
      </c>
      <c r="C132" s="13" t="s">
        <v>350</v>
      </c>
      <c r="D132" s="1" t="s">
        <v>28</v>
      </c>
      <c r="E132" s="14">
        <v>43370</v>
      </c>
      <c r="F132" s="2" t="s">
        <v>29</v>
      </c>
      <c r="G132" s="2" t="s">
        <v>1091</v>
      </c>
      <c r="H132" s="2" t="s">
        <v>1090</v>
      </c>
      <c r="I132" s="2" t="s">
        <v>1092</v>
      </c>
      <c r="J132" s="2" t="s">
        <v>353</v>
      </c>
      <c r="K132" s="2">
        <v>309.60000000000002</v>
      </c>
      <c r="L132" s="2">
        <v>6192</v>
      </c>
      <c r="M132" s="2" t="s">
        <v>1093</v>
      </c>
      <c r="N132" s="2" t="s">
        <v>35</v>
      </c>
      <c r="O132" s="2">
        <v>32.159999999999997</v>
      </c>
      <c r="P132" s="9">
        <f t="shared" ref="P132:P195" si="5">O132*35</f>
        <v>1125.5999999999999</v>
      </c>
      <c r="Q132" s="2" t="s">
        <v>1094</v>
      </c>
      <c r="R132" s="2" t="s">
        <v>37</v>
      </c>
      <c r="S132" s="9" t="s">
        <v>1095</v>
      </c>
      <c r="T132" s="9" t="s">
        <v>605</v>
      </c>
      <c r="U132" s="9" t="s">
        <v>54</v>
      </c>
      <c r="V132" s="9">
        <v>9</v>
      </c>
      <c r="W132" s="2">
        <v>24.1</v>
      </c>
      <c r="X132" s="2">
        <v>0.36</v>
      </c>
      <c r="Y132" s="2" t="s">
        <v>1096</v>
      </c>
      <c r="Z132" s="17" t="s">
        <v>607</v>
      </c>
      <c r="AA132" s="18" t="s">
        <v>1097</v>
      </c>
      <c r="AB132" s="18" t="s">
        <v>1088</v>
      </c>
      <c r="AC132" s="18" t="s">
        <v>1089</v>
      </c>
      <c r="AD132" s="18" t="s">
        <v>619</v>
      </c>
      <c r="AE132" s="18" t="s">
        <v>620</v>
      </c>
      <c r="AG132" s="23">
        <v>358</v>
      </c>
      <c r="AH132" s="23" t="s">
        <v>1096</v>
      </c>
      <c r="AI132" s="23" t="s">
        <v>1642</v>
      </c>
      <c r="AJ132" s="23" t="s">
        <v>1089</v>
      </c>
      <c r="AK132" s="23" t="s">
        <v>620</v>
      </c>
      <c r="AL132" s="23">
        <v>0.39579999999999999</v>
      </c>
      <c r="AM132" s="24">
        <f t="shared" si="4"/>
        <v>5783755.7391999997</v>
      </c>
      <c r="AN132" s="23"/>
      <c r="AO132" s="25">
        <v>1461282400</v>
      </c>
      <c r="AP132" s="23"/>
      <c r="AQ132" s="13" t="s">
        <v>350</v>
      </c>
      <c r="AR132" s="23"/>
      <c r="AS132" s="23"/>
    </row>
    <row r="133" spans="1:182" ht="16" x14ac:dyDescent="0.2">
      <c r="A133" s="2" t="s">
        <v>31</v>
      </c>
      <c r="B133" s="1" t="s">
        <v>1098</v>
      </c>
      <c r="C133" s="13" t="s">
        <v>350</v>
      </c>
      <c r="D133" s="1" t="s">
        <v>28</v>
      </c>
      <c r="E133" s="14">
        <v>43370</v>
      </c>
      <c r="F133" s="2" t="s">
        <v>29</v>
      </c>
      <c r="G133" s="2" t="s">
        <v>1099</v>
      </c>
      <c r="H133" s="2" t="s">
        <v>1098</v>
      </c>
      <c r="I133" s="2" t="s">
        <v>1100</v>
      </c>
      <c r="J133" s="2" t="s">
        <v>353</v>
      </c>
      <c r="K133" s="2">
        <v>535.12</v>
      </c>
      <c r="L133" s="2">
        <v>10702.4</v>
      </c>
      <c r="M133" s="2" t="s">
        <v>1101</v>
      </c>
      <c r="N133" s="2" t="s">
        <v>35</v>
      </c>
      <c r="O133" s="2">
        <v>30</v>
      </c>
      <c r="P133" s="9">
        <f t="shared" si="5"/>
        <v>1050</v>
      </c>
      <c r="Q133" s="2" t="s">
        <v>1102</v>
      </c>
      <c r="R133" s="2" t="s">
        <v>37</v>
      </c>
      <c r="S133" s="9" t="s">
        <v>1103</v>
      </c>
      <c r="T133" s="9" t="s">
        <v>605</v>
      </c>
      <c r="U133" s="9" t="s">
        <v>65</v>
      </c>
      <c r="V133" s="9">
        <v>9</v>
      </c>
      <c r="Y133" s="2" t="s">
        <v>1104</v>
      </c>
      <c r="Z133" s="17" t="s">
        <v>607</v>
      </c>
      <c r="AA133" s="18" t="s">
        <v>1105</v>
      </c>
      <c r="AB133" s="18" t="s">
        <v>1088</v>
      </c>
      <c r="AC133" s="18" t="s">
        <v>1089</v>
      </c>
      <c r="AD133" s="18" t="s">
        <v>628</v>
      </c>
      <c r="AE133" s="18" t="s">
        <v>629</v>
      </c>
      <c r="AG133" s="23">
        <v>359</v>
      </c>
      <c r="AH133" s="23" t="s">
        <v>1104</v>
      </c>
      <c r="AI133" s="23" t="s">
        <v>1642</v>
      </c>
      <c r="AJ133" s="23" t="s">
        <v>1089</v>
      </c>
      <c r="AK133" s="23" t="s">
        <v>629</v>
      </c>
      <c r="AL133" s="23">
        <v>0.52880000000000005</v>
      </c>
      <c r="AM133" s="24">
        <f t="shared" si="4"/>
        <v>7727261.3312000008</v>
      </c>
      <c r="AN133" s="23"/>
      <c r="AO133" s="25">
        <v>1461282400</v>
      </c>
      <c r="AP133" s="23"/>
      <c r="AQ133" s="13" t="s">
        <v>350</v>
      </c>
      <c r="AR133" s="23"/>
      <c r="AS133" s="23"/>
    </row>
    <row r="134" spans="1:182" s="9" customFormat="1" x14ac:dyDescent="0.2">
      <c r="A134" s="2" t="s">
        <v>31</v>
      </c>
      <c r="B134" s="1" t="s">
        <v>1106</v>
      </c>
      <c r="C134" s="1" t="s">
        <v>27</v>
      </c>
      <c r="D134" s="1" t="s">
        <v>28</v>
      </c>
      <c r="E134" s="8">
        <v>43370</v>
      </c>
      <c r="F134" s="9" t="s">
        <v>29</v>
      </c>
      <c r="G134" s="2" t="s">
        <v>1107</v>
      </c>
      <c r="H134" s="2" t="s">
        <v>1106</v>
      </c>
      <c r="I134" s="2" t="s">
        <v>1108</v>
      </c>
      <c r="J134" s="2" t="s">
        <v>33</v>
      </c>
      <c r="K134" s="2">
        <v>128.96</v>
      </c>
      <c r="L134" s="16">
        <v>5158.4000000000005</v>
      </c>
      <c r="M134" s="2" t="s">
        <v>1109</v>
      </c>
      <c r="N134" s="2" t="s">
        <v>35</v>
      </c>
      <c r="O134" s="2">
        <v>39.200000000000003</v>
      </c>
      <c r="P134" s="9">
        <f t="shared" si="5"/>
        <v>1372</v>
      </c>
      <c r="Q134" s="2" t="s">
        <v>1110</v>
      </c>
      <c r="R134" s="2" t="s">
        <v>37</v>
      </c>
      <c r="S134" s="9" t="s">
        <v>1111</v>
      </c>
      <c r="T134" s="9" t="s">
        <v>1112</v>
      </c>
      <c r="U134" s="9" t="s">
        <v>40</v>
      </c>
      <c r="V134" s="9">
        <v>1</v>
      </c>
      <c r="Y134" s="2" t="s">
        <v>1113</v>
      </c>
      <c r="Z134" s="19" t="s">
        <v>1114</v>
      </c>
      <c r="AA134" s="20" t="s">
        <v>1115</v>
      </c>
      <c r="AB134" s="20" t="s">
        <v>44</v>
      </c>
      <c r="AC134" s="20" t="s">
        <v>45</v>
      </c>
      <c r="AD134" s="20" t="s">
        <v>610</v>
      </c>
      <c r="AE134" s="20" t="s">
        <v>611</v>
      </c>
      <c r="AG134" s="23">
        <v>360</v>
      </c>
      <c r="AH134" s="23" t="s">
        <v>1113</v>
      </c>
      <c r="AI134" s="23" t="s">
        <v>1642</v>
      </c>
      <c r="AJ134" s="23" t="s">
        <v>45</v>
      </c>
      <c r="AK134" s="23" t="s">
        <v>611</v>
      </c>
      <c r="AL134" s="23">
        <v>0.66149999999999998</v>
      </c>
      <c r="AM134" s="24">
        <f t="shared" si="4"/>
        <v>9666383.0759999994</v>
      </c>
      <c r="AN134" s="23"/>
      <c r="AO134" s="25">
        <v>1461282400</v>
      </c>
      <c r="AP134" s="23"/>
      <c r="AQ134" s="1" t="s">
        <v>27</v>
      </c>
      <c r="AR134" s="23"/>
      <c r="AS134" s="23"/>
      <c r="AT134" s="29"/>
      <c r="AU134" s="29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</row>
    <row r="135" spans="1:182" s="9" customFormat="1" x14ac:dyDescent="0.2">
      <c r="A135" s="2" t="s">
        <v>31</v>
      </c>
      <c r="B135" s="1" t="s">
        <v>1116</v>
      </c>
      <c r="C135" s="1" t="s">
        <v>27</v>
      </c>
      <c r="D135" s="1" t="s">
        <v>28</v>
      </c>
      <c r="E135" s="8">
        <v>43370</v>
      </c>
      <c r="F135" s="9" t="s">
        <v>29</v>
      </c>
      <c r="G135" s="2" t="s">
        <v>1117</v>
      </c>
      <c r="H135" s="2" t="s">
        <v>1116</v>
      </c>
      <c r="I135" s="2" t="s">
        <v>1118</v>
      </c>
      <c r="J135" s="2" t="s">
        <v>33</v>
      </c>
      <c r="K135" s="2">
        <v>231.52</v>
      </c>
      <c r="L135" s="16">
        <v>9260.8000000000011</v>
      </c>
      <c r="M135" s="2" t="s">
        <v>1119</v>
      </c>
      <c r="N135" s="2" t="s">
        <v>35</v>
      </c>
      <c r="O135" s="2">
        <v>44</v>
      </c>
      <c r="P135" s="9">
        <f t="shared" si="5"/>
        <v>1540</v>
      </c>
      <c r="Q135" s="2" t="s">
        <v>1120</v>
      </c>
      <c r="R135" s="2" t="s">
        <v>37</v>
      </c>
      <c r="S135" s="9" t="s">
        <v>1121</v>
      </c>
      <c r="T135" s="9" t="s">
        <v>1112</v>
      </c>
      <c r="U135" s="9" t="s">
        <v>54</v>
      </c>
      <c r="V135" s="9">
        <v>1</v>
      </c>
      <c r="Y135" s="2" t="s">
        <v>1122</v>
      </c>
      <c r="Z135" s="19" t="s">
        <v>1114</v>
      </c>
      <c r="AA135" s="20" t="s">
        <v>1123</v>
      </c>
      <c r="AB135" s="20" t="s">
        <v>44</v>
      </c>
      <c r="AC135" s="20" t="s">
        <v>45</v>
      </c>
      <c r="AD135" s="20" t="s">
        <v>619</v>
      </c>
      <c r="AE135" s="20" t="s">
        <v>620</v>
      </c>
      <c r="AG135" s="23">
        <v>361</v>
      </c>
      <c r="AH135" s="23" t="s">
        <v>1122</v>
      </c>
      <c r="AI135" s="23" t="s">
        <v>1642</v>
      </c>
      <c r="AJ135" s="23" t="s">
        <v>45</v>
      </c>
      <c r="AK135" s="23" t="s">
        <v>620</v>
      </c>
      <c r="AL135" s="23">
        <v>0.62519999999999998</v>
      </c>
      <c r="AM135" s="24">
        <f t="shared" si="4"/>
        <v>9135937.5647999998</v>
      </c>
      <c r="AN135" s="23"/>
      <c r="AO135" s="25">
        <v>1461282400</v>
      </c>
      <c r="AP135" s="23"/>
      <c r="AQ135" s="1" t="s">
        <v>27</v>
      </c>
      <c r="AR135" s="23"/>
      <c r="AS135" s="23"/>
      <c r="AT135" s="29"/>
      <c r="AU135" s="29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</row>
    <row r="136" spans="1:182" s="9" customFormat="1" x14ac:dyDescent="0.2">
      <c r="A136" s="2" t="s">
        <v>31</v>
      </c>
      <c r="B136" s="1" t="s">
        <v>1124</v>
      </c>
      <c r="C136" s="1" t="s">
        <v>27</v>
      </c>
      <c r="D136" s="1" t="s">
        <v>28</v>
      </c>
      <c r="E136" s="8">
        <v>43370</v>
      </c>
      <c r="F136" s="9" t="s">
        <v>29</v>
      </c>
      <c r="G136" s="2" t="s">
        <v>1125</v>
      </c>
      <c r="H136" s="2" t="s">
        <v>1124</v>
      </c>
      <c r="I136" s="2" t="s">
        <v>1126</v>
      </c>
      <c r="J136" s="2" t="s">
        <v>33</v>
      </c>
      <c r="K136" s="2">
        <v>361.36</v>
      </c>
      <c r="L136" s="16">
        <v>14454.400000000001</v>
      </c>
      <c r="M136" s="2" t="s">
        <v>1127</v>
      </c>
      <c r="N136" s="2" t="s">
        <v>35</v>
      </c>
      <c r="O136" s="2">
        <v>50.32</v>
      </c>
      <c r="P136" s="9">
        <f t="shared" si="5"/>
        <v>1761.2</v>
      </c>
      <c r="Q136" s="2" t="s">
        <v>1128</v>
      </c>
      <c r="R136" s="2" t="s">
        <v>37</v>
      </c>
      <c r="S136" s="9" t="s">
        <v>1129</v>
      </c>
      <c r="T136" s="9" t="s">
        <v>1112</v>
      </c>
      <c r="U136" s="9" t="s">
        <v>65</v>
      </c>
      <c r="V136" s="9">
        <v>1</v>
      </c>
      <c r="Y136" s="2" t="s">
        <v>1130</v>
      </c>
      <c r="Z136" s="19" t="s">
        <v>1114</v>
      </c>
      <c r="AA136" s="20" t="s">
        <v>1131</v>
      </c>
      <c r="AB136" s="20" t="s">
        <v>44</v>
      </c>
      <c r="AC136" s="20" t="s">
        <v>45</v>
      </c>
      <c r="AD136" s="20" t="s">
        <v>628</v>
      </c>
      <c r="AE136" s="20" t="s">
        <v>629</v>
      </c>
      <c r="AG136" s="23">
        <v>362</v>
      </c>
      <c r="AH136" s="23" t="s">
        <v>1130</v>
      </c>
      <c r="AI136" s="23" t="s">
        <v>1642</v>
      </c>
      <c r="AJ136" s="23" t="s">
        <v>45</v>
      </c>
      <c r="AK136" s="23" t="s">
        <v>629</v>
      </c>
      <c r="AL136" s="23">
        <v>0.66539999999999999</v>
      </c>
      <c r="AM136" s="24">
        <f t="shared" si="4"/>
        <v>9723373.0896000005</v>
      </c>
      <c r="AN136" s="23"/>
      <c r="AO136" s="25">
        <v>1461282400</v>
      </c>
      <c r="AP136" s="23"/>
      <c r="AQ136" s="1" t="s">
        <v>27</v>
      </c>
      <c r="AR136" s="23"/>
      <c r="AS136" s="23"/>
      <c r="AT136" s="29"/>
      <c r="AU136" s="29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</row>
    <row r="137" spans="1:182" s="9" customFormat="1" x14ac:dyDescent="0.2">
      <c r="A137" s="2" t="s">
        <v>31</v>
      </c>
      <c r="B137" s="1" t="s">
        <v>1132</v>
      </c>
      <c r="C137" s="1" t="s">
        <v>27</v>
      </c>
      <c r="D137" s="1" t="s">
        <v>28</v>
      </c>
      <c r="E137" s="8">
        <v>43370</v>
      </c>
      <c r="F137" s="9" t="s">
        <v>29</v>
      </c>
      <c r="G137" s="2" t="s">
        <v>1133</v>
      </c>
      <c r="H137" s="2" t="s">
        <v>1132</v>
      </c>
      <c r="I137" s="3" t="s">
        <v>1134</v>
      </c>
      <c r="J137" s="2" t="s">
        <v>33</v>
      </c>
      <c r="K137" s="3">
        <v>0.88</v>
      </c>
      <c r="L137" s="21">
        <v>35.200000000000003</v>
      </c>
      <c r="M137" s="2" t="s">
        <v>1135</v>
      </c>
      <c r="N137" s="2" t="s">
        <v>35</v>
      </c>
      <c r="O137" s="2">
        <v>4.6399999999999997</v>
      </c>
      <c r="P137" s="9">
        <f t="shared" si="5"/>
        <v>162.39999999999998</v>
      </c>
      <c r="Q137" s="2" t="s">
        <v>1136</v>
      </c>
      <c r="R137" s="2" t="s">
        <v>37</v>
      </c>
      <c r="S137" s="9" t="s">
        <v>1137</v>
      </c>
      <c r="T137" s="9" t="s">
        <v>1112</v>
      </c>
      <c r="U137" s="9" t="s">
        <v>76</v>
      </c>
      <c r="V137" s="9">
        <v>1</v>
      </c>
      <c r="Y137" s="2" t="s">
        <v>1138</v>
      </c>
      <c r="Z137" s="19" t="s">
        <v>1114</v>
      </c>
      <c r="AA137" s="20" t="s">
        <v>1139</v>
      </c>
      <c r="AB137" s="20" t="s">
        <v>44</v>
      </c>
      <c r="AC137" s="20" t="s">
        <v>45</v>
      </c>
      <c r="AD137" s="20" t="s">
        <v>637</v>
      </c>
      <c r="AE137" s="20" t="s">
        <v>638</v>
      </c>
      <c r="AG137" s="23">
        <v>363</v>
      </c>
      <c r="AH137" s="23" t="s">
        <v>1138</v>
      </c>
      <c r="AI137" s="23" t="s">
        <v>1642</v>
      </c>
      <c r="AJ137" s="23" t="s">
        <v>45</v>
      </c>
      <c r="AK137" s="23" t="s">
        <v>638</v>
      </c>
      <c r="AL137" s="23">
        <v>7.8200000000000006E-2</v>
      </c>
      <c r="AM137" s="24">
        <f t="shared" si="4"/>
        <v>1142722.8368000002</v>
      </c>
      <c r="AN137" s="23"/>
      <c r="AO137" s="25">
        <v>1461282400</v>
      </c>
      <c r="AP137" s="23"/>
      <c r="AQ137" s="1" t="s">
        <v>27</v>
      </c>
      <c r="AR137" s="23"/>
      <c r="AS137" s="23"/>
      <c r="AT137" s="29"/>
      <c r="AU137" s="29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</row>
    <row r="138" spans="1:182" s="9" customFormat="1" x14ac:dyDescent="0.2">
      <c r="A138" s="2" t="s">
        <v>31</v>
      </c>
      <c r="B138" s="1" t="s">
        <v>1140</v>
      </c>
      <c r="C138" s="1" t="s">
        <v>27</v>
      </c>
      <c r="D138" s="1" t="s">
        <v>28</v>
      </c>
      <c r="E138" s="8">
        <v>43370</v>
      </c>
      <c r="F138" s="9" t="s">
        <v>29</v>
      </c>
      <c r="G138" s="2" t="s">
        <v>1141</v>
      </c>
      <c r="H138" s="2" t="s">
        <v>1140</v>
      </c>
      <c r="I138" s="2" t="s">
        <v>1142</v>
      </c>
      <c r="J138" s="2" t="s">
        <v>33</v>
      </c>
      <c r="K138" s="2">
        <v>213.76</v>
      </c>
      <c r="L138" s="16">
        <v>8550.4</v>
      </c>
      <c r="M138" s="2" t="s">
        <v>1143</v>
      </c>
      <c r="N138" s="2" t="s">
        <v>35</v>
      </c>
      <c r="O138" s="2">
        <v>43.52</v>
      </c>
      <c r="P138" s="9">
        <f t="shared" si="5"/>
        <v>1523.2</v>
      </c>
      <c r="Q138" s="2" t="s">
        <v>1144</v>
      </c>
      <c r="R138" s="2" t="s">
        <v>37</v>
      </c>
      <c r="S138" s="9" t="s">
        <v>1145</v>
      </c>
      <c r="T138" s="9" t="s">
        <v>1112</v>
      </c>
      <c r="U138" s="9" t="s">
        <v>87</v>
      </c>
      <c r="V138" s="9">
        <v>1</v>
      </c>
      <c r="Y138" s="2" t="s">
        <v>1146</v>
      </c>
      <c r="Z138" s="19" t="s">
        <v>1114</v>
      </c>
      <c r="AA138" s="20" t="s">
        <v>1147</v>
      </c>
      <c r="AB138" s="20" t="s">
        <v>44</v>
      </c>
      <c r="AC138" s="20" t="s">
        <v>45</v>
      </c>
      <c r="AD138" s="20" t="s">
        <v>646</v>
      </c>
      <c r="AE138" s="20" t="s">
        <v>647</v>
      </c>
      <c r="AG138" s="23">
        <v>364</v>
      </c>
      <c r="AH138" s="23" t="s">
        <v>1146</v>
      </c>
      <c r="AI138" s="23" t="s">
        <v>1642</v>
      </c>
      <c r="AJ138" s="23" t="s">
        <v>45</v>
      </c>
      <c r="AK138" s="23" t="s">
        <v>647</v>
      </c>
      <c r="AL138" s="23">
        <v>0.69330000000000003</v>
      </c>
      <c r="AM138" s="24">
        <f t="shared" si="4"/>
        <v>10131070.8792</v>
      </c>
      <c r="AN138" s="23"/>
      <c r="AO138" s="25">
        <v>1461282400</v>
      </c>
      <c r="AP138" s="23"/>
      <c r="AQ138" s="1" t="s">
        <v>27</v>
      </c>
      <c r="AR138" s="23"/>
      <c r="AS138" s="23"/>
      <c r="AT138" s="29"/>
      <c r="AU138" s="29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</row>
    <row r="139" spans="1:182" s="9" customFormat="1" x14ac:dyDescent="0.2">
      <c r="A139" s="2" t="s">
        <v>31</v>
      </c>
      <c r="B139" s="1" t="s">
        <v>1148</v>
      </c>
      <c r="C139" s="1" t="s">
        <v>27</v>
      </c>
      <c r="D139" s="1" t="s">
        <v>28</v>
      </c>
      <c r="E139" s="8">
        <v>43370</v>
      </c>
      <c r="F139" s="9" t="s">
        <v>29</v>
      </c>
      <c r="G139" s="2" t="s">
        <v>1149</v>
      </c>
      <c r="H139" s="2" t="s">
        <v>1148</v>
      </c>
      <c r="I139" s="2" t="s">
        <v>1150</v>
      </c>
      <c r="J139" s="2" t="s">
        <v>33</v>
      </c>
      <c r="K139" s="2">
        <v>255.76</v>
      </c>
      <c r="L139" s="16">
        <v>10230.4</v>
      </c>
      <c r="M139" s="2" t="s">
        <v>1151</v>
      </c>
      <c r="N139" s="2" t="s">
        <v>35</v>
      </c>
      <c r="O139" s="2">
        <v>42.72</v>
      </c>
      <c r="P139" s="9">
        <f t="shared" si="5"/>
        <v>1495.2</v>
      </c>
      <c r="Q139" s="2" t="s">
        <v>1152</v>
      </c>
      <c r="R139" s="2" t="s">
        <v>37</v>
      </c>
      <c r="S139" s="9" t="s">
        <v>1153</v>
      </c>
      <c r="T139" s="9" t="s">
        <v>1112</v>
      </c>
      <c r="U139" s="9" t="s">
        <v>98</v>
      </c>
      <c r="V139" s="9">
        <v>1</v>
      </c>
      <c r="Y139" s="2" t="s">
        <v>1154</v>
      </c>
      <c r="Z139" s="19" t="s">
        <v>1114</v>
      </c>
      <c r="AA139" s="20" t="s">
        <v>1155</v>
      </c>
      <c r="AB139" s="20" t="s">
        <v>44</v>
      </c>
      <c r="AC139" s="20" t="s">
        <v>45</v>
      </c>
      <c r="AD139" s="20" t="s">
        <v>655</v>
      </c>
      <c r="AE139" s="20" t="s">
        <v>656</v>
      </c>
      <c r="AG139" s="23">
        <v>365</v>
      </c>
      <c r="AH139" s="23" t="s">
        <v>1154</v>
      </c>
      <c r="AI139" s="23" t="s">
        <v>1642</v>
      </c>
      <c r="AJ139" s="23" t="s">
        <v>45</v>
      </c>
      <c r="AK139" s="23" t="s">
        <v>656</v>
      </c>
      <c r="AL139" s="23">
        <v>0.55840000000000001</v>
      </c>
      <c r="AM139" s="24">
        <f t="shared" si="4"/>
        <v>8159800.9216</v>
      </c>
      <c r="AN139" s="23"/>
      <c r="AO139" s="25">
        <v>1461282400</v>
      </c>
      <c r="AP139" s="23"/>
      <c r="AQ139" s="1" t="s">
        <v>27</v>
      </c>
      <c r="AR139" s="23"/>
      <c r="AS139" s="23"/>
      <c r="AT139" s="29"/>
      <c r="AU139" s="29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</row>
    <row r="140" spans="1:182" s="9" customFormat="1" x14ac:dyDescent="0.2">
      <c r="A140" s="2" t="s">
        <v>31</v>
      </c>
      <c r="B140" s="1" t="s">
        <v>1156</v>
      </c>
      <c r="C140" s="1" t="s">
        <v>27</v>
      </c>
      <c r="D140" s="1" t="s">
        <v>28</v>
      </c>
      <c r="E140" s="8">
        <v>43370</v>
      </c>
      <c r="F140" s="9" t="s">
        <v>29</v>
      </c>
      <c r="G140" s="2" t="s">
        <v>1157</v>
      </c>
      <c r="H140" s="2" t="s">
        <v>1156</v>
      </c>
      <c r="I140" s="2" t="s">
        <v>1158</v>
      </c>
      <c r="J140" s="2" t="s">
        <v>33</v>
      </c>
      <c r="K140" s="2">
        <v>349.44</v>
      </c>
      <c r="L140" s="16">
        <v>13977.6</v>
      </c>
      <c r="M140" s="2" t="s">
        <v>1159</v>
      </c>
      <c r="N140" s="2" t="s">
        <v>35</v>
      </c>
      <c r="O140" s="2">
        <v>40.08</v>
      </c>
      <c r="P140" s="9">
        <f t="shared" si="5"/>
        <v>1402.8</v>
      </c>
      <c r="Q140" s="2" t="s">
        <v>1160</v>
      </c>
      <c r="R140" s="2" t="s">
        <v>37</v>
      </c>
      <c r="S140" s="9" t="s">
        <v>1161</v>
      </c>
      <c r="T140" s="9" t="s">
        <v>1112</v>
      </c>
      <c r="U140" s="9" t="s">
        <v>109</v>
      </c>
      <c r="V140" s="9">
        <v>1</v>
      </c>
      <c r="Y140" s="2" t="s">
        <v>1162</v>
      </c>
      <c r="Z140" s="19" t="s">
        <v>1114</v>
      </c>
      <c r="AA140" s="20" t="s">
        <v>1163</v>
      </c>
      <c r="AB140" s="20" t="s">
        <v>44</v>
      </c>
      <c r="AC140" s="20" t="s">
        <v>45</v>
      </c>
      <c r="AD140" s="20" t="s">
        <v>664</v>
      </c>
      <c r="AE140" s="20" t="s">
        <v>665</v>
      </c>
      <c r="AG140" s="23">
        <v>366</v>
      </c>
      <c r="AH140" s="23" t="s">
        <v>1162</v>
      </c>
      <c r="AI140" s="23" t="s">
        <v>1642</v>
      </c>
      <c r="AJ140" s="23" t="s">
        <v>45</v>
      </c>
      <c r="AK140" s="23" t="s">
        <v>665</v>
      </c>
      <c r="AL140" s="23">
        <v>0.39639999999999997</v>
      </c>
      <c r="AM140" s="24">
        <f t="shared" si="4"/>
        <v>5792523.4336000001</v>
      </c>
      <c r="AN140" s="23"/>
      <c r="AO140" s="25">
        <v>1461282400</v>
      </c>
      <c r="AP140" s="23"/>
      <c r="AQ140" s="1" t="s">
        <v>27</v>
      </c>
      <c r="AR140" s="23"/>
      <c r="AS140" s="23"/>
      <c r="AT140" s="29"/>
      <c r="AU140" s="29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</row>
    <row r="141" spans="1:182" s="9" customFormat="1" x14ac:dyDescent="0.2">
      <c r="A141" s="2" t="s">
        <v>31</v>
      </c>
      <c r="B141" s="1" t="s">
        <v>1164</v>
      </c>
      <c r="C141" s="1" t="s">
        <v>27</v>
      </c>
      <c r="D141" s="1" t="s">
        <v>28</v>
      </c>
      <c r="E141" s="8">
        <v>43370</v>
      </c>
      <c r="F141" s="9" t="s">
        <v>29</v>
      </c>
      <c r="G141" s="2" t="s">
        <v>1165</v>
      </c>
      <c r="H141" s="2" t="s">
        <v>1164</v>
      </c>
      <c r="I141" s="2" t="s">
        <v>1166</v>
      </c>
      <c r="J141" s="2" t="s">
        <v>33</v>
      </c>
      <c r="K141" s="2">
        <v>273.04000000000002</v>
      </c>
      <c r="L141" s="16">
        <v>10921.6</v>
      </c>
      <c r="M141" s="2" t="s">
        <v>1167</v>
      </c>
      <c r="N141" s="2" t="s">
        <v>35</v>
      </c>
      <c r="O141" s="2">
        <v>37.520000000000003</v>
      </c>
      <c r="P141" s="9">
        <f t="shared" si="5"/>
        <v>1313.2</v>
      </c>
      <c r="Q141" s="2" t="s">
        <v>1168</v>
      </c>
      <c r="R141" s="2" t="s">
        <v>37</v>
      </c>
      <c r="S141" s="9" t="s">
        <v>1169</v>
      </c>
      <c r="T141" s="9" t="s">
        <v>1112</v>
      </c>
      <c r="U141" s="9" t="s">
        <v>120</v>
      </c>
      <c r="V141" s="9">
        <v>1</v>
      </c>
      <c r="W141" s="9">
        <v>15</v>
      </c>
      <c r="X141" s="9">
        <v>0.21</v>
      </c>
      <c r="Y141" s="2" t="s">
        <v>1170</v>
      </c>
      <c r="Z141" s="19" t="s">
        <v>1114</v>
      </c>
      <c r="AA141" s="20" t="s">
        <v>1171</v>
      </c>
      <c r="AB141" s="20" t="s">
        <v>44</v>
      </c>
      <c r="AC141" s="20" t="s">
        <v>45</v>
      </c>
      <c r="AD141" s="20" t="s">
        <v>673</v>
      </c>
      <c r="AE141" s="20" t="s">
        <v>674</v>
      </c>
      <c r="AG141" s="23">
        <v>367</v>
      </c>
      <c r="AH141" s="23" t="s">
        <v>1170</v>
      </c>
      <c r="AI141" s="23" t="s">
        <v>1642</v>
      </c>
      <c r="AJ141" s="23" t="s">
        <v>45</v>
      </c>
      <c r="AK141" s="23" t="s">
        <v>674</v>
      </c>
      <c r="AL141" s="23">
        <v>0.55989999999999995</v>
      </c>
      <c r="AM141" s="24">
        <f t="shared" si="4"/>
        <v>8181720.1575999996</v>
      </c>
      <c r="AN141" s="23"/>
      <c r="AO141" s="25">
        <v>1461282400</v>
      </c>
      <c r="AP141" s="23"/>
      <c r="AQ141" s="1" t="s">
        <v>27</v>
      </c>
      <c r="AR141" s="23"/>
      <c r="AS141" s="23"/>
      <c r="AT141" s="29"/>
      <c r="AU141" s="29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</row>
    <row r="142" spans="1:182" s="9" customFormat="1" x14ac:dyDescent="0.2">
      <c r="A142" s="2" t="s">
        <v>31</v>
      </c>
      <c r="B142" s="1" t="s">
        <v>1172</v>
      </c>
      <c r="C142" s="1" t="s">
        <v>27</v>
      </c>
      <c r="D142" s="1" t="s">
        <v>28</v>
      </c>
      <c r="E142" s="8">
        <v>43370</v>
      </c>
      <c r="F142" s="9" t="s">
        <v>29</v>
      </c>
      <c r="G142" s="2" t="s">
        <v>1173</v>
      </c>
      <c r="H142" s="2" t="s">
        <v>1172</v>
      </c>
      <c r="I142" s="2" t="s">
        <v>1174</v>
      </c>
      <c r="J142" s="2" t="s">
        <v>33</v>
      </c>
      <c r="K142" s="2">
        <v>144.08000000000001</v>
      </c>
      <c r="L142" s="16">
        <v>3190.4</v>
      </c>
      <c r="M142" s="2" t="s">
        <v>1175</v>
      </c>
      <c r="N142" s="2" t="s">
        <v>35</v>
      </c>
      <c r="O142" s="2">
        <v>37.92</v>
      </c>
      <c r="P142" s="9">
        <f t="shared" si="5"/>
        <v>1327.2</v>
      </c>
      <c r="Q142" s="2" t="s">
        <v>1176</v>
      </c>
      <c r="R142" s="2" t="s">
        <v>37</v>
      </c>
      <c r="S142" s="9" t="s">
        <v>1177</v>
      </c>
      <c r="T142" s="9" t="s">
        <v>1112</v>
      </c>
      <c r="U142" s="9" t="s">
        <v>40</v>
      </c>
      <c r="V142" s="9">
        <v>2</v>
      </c>
      <c r="Y142" s="2" t="s">
        <v>1178</v>
      </c>
      <c r="Z142" s="19" t="s">
        <v>1114</v>
      </c>
      <c r="AA142" s="20" t="s">
        <v>1179</v>
      </c>
      <c r="AB142" s="20" t="s">
        <v>133</v>
      </c>
      <c r="AC142" s="20" t="s">
        <v>134</v>
      </c>
      <c r="AD142" s="20" t="s">
        <v>610</v>
      </c>
      <c r="AE142" s="20" t="s">
        <v>611</v>
      </c>
      <c r="AG142" s="23">
        <v>368</v>
      </c>
      <c r="AH142" s="23" t="s">
        <v>1178</v>
      </c>
      <c r="AI142" s="23" t="s">
        <v>1642</v>
      </c>
      <c r="AJ142" s="23" t="s">
        <v>134</v>
      </c>
      <c r="AK142" s="23" t="s">
        <v>611</v>
      </c>
      <c r="AL142" s="23">
        <v>0.50880000000000003</v>
      </c>
      <c r="AM142" s="24">
        <f t="shared" si="4"/>
        <v>7435004.8512000004</v>
      </c>
      <c r="AN142" s="23"/>
      <c r="AO142" s="25">
        <v>1461282400</v>
      </c>
      <c r="AP142" s="23"/>
      <c r="AQ142" s="1" t="s">
        <v>27</v>
      </c>
      <c r="AR142" s="23"/>
      <c r="AS142" s="23"/>
      <c r="AT142" s="29"/>
      <c r="AU142" s="29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</row>
    <row r="143" spans="1:182" s="9" customFormat="1" x14ac:dyDescent="0.2">
      <c r="A143" s="2" t="s">
        <v>31</v>
      </c>
      <c r="B143" s="1" t="s">
        <v>1180</v>
      </c>
      <c r="C143" s="1" t="s">
        <v>27</v>
      </c>
      <c r="D143" s="1" t="s">
        <v>28</v>
      </c>
      <c r="E143" s="8">
        <v>43370</v>
      </c>
      <c r="F143" s="9" t="s">
        <v>29</v>
      </c>
      <c r="G143" s="2" t="s">
        <v>1181</v>
      </c>
      <c r="H143" s="2" t="s">
        <v>1180</v>
      </c>
      <c r="I143" s="2" t="s">
        <v>1182</v>
      </c>
      <c r="J143" s="2" t="s">
        <v>33</v>
      </c>
      <c r="K143" s="2">
        <v>207.2</v>
      </c>
      <c r="L143" s="16">
        <v>8288</v>
      </c>
      <c r="M143" s="2" t="s">
        <v>1183</v>
      </c>
      <c r="N143" s="2" t="s">
        <v>35</v>
      </c>
      <c r="O143" s="2">
        <v>39.520000000000003</v>
      </c>
      <c r="P143" s="9">
        <f t="shared" si="5"/>
        <v>1383.2</v>
      </c>
      <c r="Q143" s="2" t="s">
        <v>1184</v>
      </c>
      <c r="R143" s="2" t="s">
        <v>37</v>
      </c>
      <c r="S143" s="9" t="s">
        <v>1185</v>
      </c>
      <c r="T143" s="9" t="s">
        <v>1112</v>
      </c>
      <c r="U143" s="9" t="s">
        <v>54</v>
      </c>
      <c r="V143" s="9">
        <v>2</v>
      </c>
      <c r="Y143" s="2" t="s">
        <v>1186</v>
      </c>
      <c r="Z143" s="19" t="s">
        <v>1114</v>
      </c>
      <c r="AA143" s="20" t="s">
        <v>1187</v>
      </c>
      <c r="AB143" s="20" t="s">
        <v>133</v>
      </c>
      <c r="AC143" s="20" t="s">
        <v>134</v>
      </c>
      <c r="AD143" s="20" t="s">
        <v>619</v>
      </c>
      <c r="AE143" s="20" t="s">
        <v>620</v>
      </c>
      <c r="AG143" s="23">
        <v>369</v>
      </c>
      <c r="AH143" s="23" t="s">
        <v>1186</v>
      </c>
      <c r="AI143" s="23" t="s">
        <v>1642</v>
      </c>
      <c r="AJ143" s="23" t="s">
        <v>134</v>
      </c>
      <c r="AK143" s="23" t="s">
        <v>620</v>
      </c>
      <c r="AL143" s="23">
        <v>0.48359999999999997</v>
      </c>
      <c r="AM143" s="24">
        <f t="shared" si="4"/>
        <v>7066761.6864</v>
      </c>
      <c r="AN143" s="23"/>
      <c r="AO143" s="25">
        <v>1461282400</v>
      </c>
      <c r="AP143" s="23"/>
      <c r="AQ143" s="1" t="s">
        <v>27</v>
      </c>
      <c r="AR143" s="23"/>
      <c r="AS143" s="23"/>
      <c r="AT143" s="29"/>
      <c r="AU143" s="29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</row>
    <row r="144" spans="1:182" s="9" customFormat="1" x14ac:dyDescent="0.2">
      <c r="A144" s="2" t="s">
        <v>31</v>
      </c>
      <c r="B144" s="1" t="s">
        <v>1188</v>
      </c>
      <c r="C144" s="1" t="s">
        <v>27</v>
      </c>
      <c r="D144" s="1" t="s">
        <v>28</v>
      </c>
      <c r="E144" s="8">
        <v>43370</v>
      </c>
      <c r="F144" s="9" t="s">
        <v>29</v>
      </c>
      <c r="G144" s="2" t="s">
        <v>1189</v>
      </c>
      <c r="H144" s="2" t="s">
        <v>1188</v>
      </c>
      <c r="I144" s="2" t="s">
        <v>1190</v>
      </c>
      <c r="J144" s="2" t="s">
        <v>33</v>
      </c>
      <c r="K144" s="2">
        <v>265.83999999999997</v>
      </c>
      <c r="L144" s="16">
        <v>10633.599999999999</v>
      </c>
      <c r="M144" s="2" t="s">
        <v>1191</v>
      </c>
      <c r="N144" s="2" t="s">
        <v>35</v>
      </c>
      <c r="O144" s="2">
        <v>40.96</v>
      </c>
      <c r="P144" s="9">
        <f t="shared" si="5"/>
        <v>1433.6000000000001</v>
      </c>
      <c r="Q144" s="2" t="s">
        <v>1192</v>
      </c>
      <c r="R144" s="2" t="s">
        <v>37</v>
      </c>
      <c r="S144" s="9" t="s">
        <v>1193</v>
      </c>
      <c r="T144" s="9" t="s">
        <v>1112</v>
      </c>
      <c r="U144" s="9" t="s">
        <v>65</v>
      </c>
      <c r="V144" s="9">
        <v>2</v>
      </c>
      <c r="W144" s="9">
        <v>23.3</v>
      </c>
      <c r="X144" s="9">
        <v>0.28999999999999998</v>
      </c>
      <c r="Y144" s="2" t="s">
        <v>1194</v>
      </c>
      <c r="Z144" s="19" t="s">
        <v>1114</v>
      </c>
      <c r="AA144" s="20" t="s">
        <v>1195</v>
      </c>
      <c r="AB144" s="20" t="s">
        <v>133</v>
      </c>
      <c r="AC144" s="20" t="s">
        <v>134</v>
      </c>
      <c r="AD144" s="20" t="s">
        <v>628</v>
      </c>
      <c r="AE144" s="20" t="s">
        <v>629</v>
      </c>
      <c r="AG144" s="23">
        <v>370</v>
      </c>
      <c r="AH144" s="23" t="s">
        <v>1194</v>
      </c>
      <c r="AI144" s="23" t="s">
        <v>1642</v>
      </c>
      <c r="AJ144" s="23" t="s">
        <v>134</v>
      </c>
      <c r="AK144" s="23" t="s">
        <v>629</v>
      </c>
      <c r="AL144" s="23">
        <v>0.50460000000000005</v>
      </c>
      <c r="AM144" s="24">
        <f t="shared" si="4"/>
        <v>7373630.9904000005</v>
      </c>
      <c r="AN144" s="23"/>
      <c r="AO144" s="25">
        <v>1461282400</v>
      </c>
      <c r="AP144" s="23"/>
      <c r="AQ144" s="1" t="s">
        <v>27</v>
      </c>
      <c r="AR144" s="23"/>
      <c r="AS144" s="23"/>
      <c r="AT144" s="29"/>
      <c r="AU144" s="29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</row>
    <row r="145" spans="1:182" s="9" customFormat="1" x14ac:dyDescent="0.2">
      <c r="A145" s="2" t="s">
        <v>31</v>
      </c>
      <c r="B145" s="1" t="s">
        <v>1196</v>
      </c>
      <c r="C145" s="1" t="s">
        <v>27</v>
      </c>
      <c r="D145" s="1" t="s">
        <v>28</v>
      </c>
      <c r="E145" s="8">
        <v>43370</v>
      </c>
      <c r="F145" s="9" t="s">
        <v>29</v>
      </c>
      <c r="G145" s="2" t="s">
        <v>1197</v>
      </c>
      <c r="H145" s="2" t="s">
        <v>1196</v>
      </c>
      <c r="I145" s="2" t="s">
        <v>1198</v>
      </c>
      <c r="J145" s="2" t="s">
        <v>33</v>
      </c>
      <c r="K145" s="2">
        <v>234.08</v>
      </c>
      <c r="L145" s="16">
        <v>9363.2000000000007</v>
      </c>
      <c r="M145" s="2" t="s">
        <v>1199</v>
      </c>
      <c r="N145" s="2" t="s">
        <v>35</v>
      </c>
      <c r="O145" s="2">
        <v>41.04</v>
      </c>
      <c r="P145" s="9">
        <f t="shared" si="5"/>
        <v>1436.3999999999999</v>
      </c>
      <c r="Q145" s="2" t="s">
        <v>1200</v>
      </c>
      <c r="R145" s="2" t="s">
        <v>37</v>
      </c>
      <c r="S145" s="9" t="s">
        <v>1201</v>
      </c>
      <c r="T145" s="9" t="s">
        <v>1112</v>
      </c>
      <c r="U145" s="9" t="s">
        <v>76</v>
      </c>
      <c r="V145" s="9">
        <v>2</v>
      </c>
      <c r="Y145" s="2" t="s">
        <v>1202</v>
      </c>
      <c r="Z145" s="19" t="s">
        <v>1114</v>
      </c>
      <c r="AA145" s="20" t="s">
        <v>1203</v>
      </c>
      <c r="AB145" s="20" t="s">
        <v>133</v>
      </c>
      <c r="AC145" s="20" t="s">
        <v>134</v>
      </c>
      <c r="AD145" s="20" t="s">
        <v>637</v>
      </c>
      <c r="AE145" s="20" t="s">
        <v>638</v>
      </c>
      <c r="AG145" s="23">
        <v>371</v>
      </c>
      <c r="AH145" s="23" t="s">
        <v>1202</v>
      </c>
      <c r="AI145" s="23" t="s">
        <v>1642</v>
      </c>
      <c r="AJ145" s="23" t="s">
        <v>134</v>
      </c>
      <c r="AK145" s="23" t="s">
        <v>638</v>
      </c>
      <c r="AL145" s="23">
        <v>0.51019999999999999</v>
      </c>
      <c r="AM145" s="24">
        <f t="shared" si="4"/>
        <v>7455462.8048</v>
      </c>
      <c r="AN145" s="23"/>
      <c r="AO145" s="25">
        <v>1461282400</v>
      </c>
      <c r="AP145" s="23"/>
      <c r="AQ145" s="1" t="s">
        <v>27</v>
      </c>
      <c r="AR145" s="23"/>
      <c r="AS145" s="23"/>
      <c r="AT145" s="29"/>
      <c r="AU145" s="29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</row>
    <row r="146" spans="1:182" s="9" customFormat="1" x14ac:dyDescent="0.2">
      <c r="A146" s="2" t="s">
        <v>31</v>
      </c>
      <c r="B146" s="1" t="s">
        <v>1204</v>
      </c>
      <c r="C146" s="1" t="s">
        <v>27</v>
      </c>
      <c r="D146" s="1" t="s">
        <v>28</v>
      </c>
      <c r="E146" s="8">
        <v>43370</v>
      </c>
      <c r="F146" s="9" t="s">
        <v>29</v>
      </c>
      <c r="G146" s="2" t="s">
        <v>1205</v>
      </c>
      <c r="H146" s="2" t="s">
        <v>1204</v>
      </c>
      <c r="I146" s="2" t="s">
        <v>1206</v>
      </c>
      <c r="J146" s="2" t="s">
        <v>33</v>
      </c>
      <c r="K146" s="2">
        <v>198.24</v>
      </c>
      <c r="L146" s="16">
        <v>7929.6</v>
      </c>
      <c r="M146" s="2" t="s">
        <v>1207</v>
      </c>
      <c r="N146" s="2" t="s">
        <v>35</v>
      </c>
      <c r="O146" s="2">
        <v>39.119999999999997</v>
      </c>
      <c r="P146" s="9">
        <f t="shared" si="5"/>
        <v>1369.1999999999998</v>
      </c>
      <c r="Q146" s="2" t="s">
        <v>1208</v>
      </c>
      <c r="R146" s="2" t="s">
        <v>37</v>
      </c>
      <c r="S146" s="9" t="s">
        <v>1209</v>
      </c>
      <c r="T146" s="9" t="s">
        <v>1112</v>
      </c>
      <c r="U146" s="9" t="s">
        <v>87</v>
      </c>
      <c r="V146" s="9">
        <v>2</v>
      </c>
      <c r="Y146" s="2" t="s">
        <v>1210</v>
      </c>
      <c r="Z146" s="19" t="s">
        <v>1114</v>
      </c>
      <c r="AA146" s="20" t="s">
        <v>1211</v>
      </c>
      <c r="AB146" s="20" t="s">
        <v>133</v>
      </c>
      <c r="AC146" s="20" t="s">
        <v>134</v>
      </c>
      <c r="AD146" s="20" t="s">
        <v>646</v>
      </c>
      <c r="AE146" s="20" t="s">
        <v>647</v>
      </c>
      <c r="AG146" s="23">
        <v>372</v>
      </c>
      <c r="AH146" s="23" t="s">
        <v>1210</v>
      </c>
      <c r="AI146" s="23" t="s">
        <v>1642</v>
      </c>
      <c r="AJ146" s="23" t="s">
        <v>134</v>
      </c>
      <c r="AK146" s="23" t="s">
        <v>647</v>
      </c>
      <c r="AL146" s="23">
        <v>0.53590000000000004</v>
      </c>
      <c r="AM146" s="24">
        <f t="shared" si="4"/>
        <v>7831012.3816000009</v>
      </c>
      <c r="AN146" s="23"/>
      <c r="AO146" s="25">
        <v>1461282400</v>
      </c>
      <c r="AP146" s="23"/>
      <c r="AQ146" s="1" t="s">
        <v>27</v>
      </c>
      <c r="AR146" s="23"/>
      <c r="AS146" s="23"/>
      <c r="AT146" s="29"/>
      <c r="AU146" s="29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</row>
    <row r="147" spans="1:182" s="9" customFormat="1" x14ac:dyDescent="0.2">
      <c r="A147" s="2" t="s">
        <v>31</v>
      </c>
      <c r="B147" s="1" t="s">
        <v>1212</v>
      </c>
      <c r="C147" s="1" t="s">
        <v>27</v>
      </c>
      <c r="D147" s="1" t="s">
        <v>28</v>
      </c>
      <c r="E147" s="8">
        <v>43370</v>
      </c>
      <c r="F147" s="9" t="s">
        <v>29</v>
      </c>
      <c r="G147" s="2" t="s">
        <v>1213</v>
      </c>
      <c r="H147" s="2" t="s">
        <v>1212</v>
      </c>
      <c r="I147" s="2" t="s">
        <v>1214</v>
      </c>
      <c r="J147" s="2" t="s">
        <v>33</v>
      </c>
      <c r="K147" s="2">
        <v>178.24</v>
      </c>
      <c r="L147" s="16">
        <v>7129.6</v>
      </c>
      <c r="M147" s="2" t="s">
        <v>1215</v>
      </c>
      <c r="N147" s="2" t="s">
        <v>35</v>
      </c>
      <c r="O147" s="2">
        <v>40.4</v>
      </c>
      <c r="P147" s="9">
        <f t="shared" si="5"/>
        <v>1414</v>
      </c>
      <c r="Q147" s="2" t="s">
        <v>1216</v>
      </c>
      <c r="R147" s="2" t="s">
        <v>37</v>
      </c>
      <c r="S147" s="9" t="s">
        <v>1217</v>
      </c>
      <c r="T147" s="9" t="s">
        <v>1112</v>
      </c>
      <c r="U147" s="9" t="s">
        <v>98</v>
      </c>
      <c r="V147" s="9">
        <v>2</v>
      </c>
      <c r="Y147" s="2" t="s">
        <v>1218</v>
      </c>
      <c r="Z147" s="19" t="s">
        <v>1114</v>
      </c>
      <c r="AA147" s="20" t="s">
        <v>1219</v>
      </c>
      <c r="AB147" s="20" t="s">
        <v>133</v>
      </c>
      <c r="AC147" s="20" t="s">
        <v>134</v>
      </c>
      <c r="AD147" s="20" t="s">
        <v>655</v>
      </c>
      <c r="AE147" s="20" t="s">
        <v>656</v>
      </c>
      <c r="AG147" s="23">
        <v>373</v>
      </c>
      <c r="AH147" s="23" t="s">
        <v>1218</v>
      </c>
      <c r="AI147" s="23" t="s">
        <v>1642</v>
      </c>
      <c r="AJ147" s="23" t="s">
        <v>134</v>
      </c>
      <c r="AK147" s="23" t="s">
        <v>656</v>
      </c>
      <c r="AL147" s="23">
        <v>0.51719999999999999</v>
      </c>
      <c r="AM147" s="24">
        <f t="shared" si="4"/>
        <v>7557752.5727999993</v>
      </c>
      <c r="AN147" s="23"/>
      <c r="AO147" s="25">
        <v>1461282400</v>
      </c>
      <c r="AP147" s="23"/>
      <c r="AQ147" s="1" t="s">
        <v>27</v>
      </c>
      <c r="AR147" s="23"/>
      <c r="AS147" s="23"/>
      <c r="AT147" s="29"/>
      <c r="AU147" s="29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</row>
    <row r="148" spans="1:182" s="9" customFormat="1" x14ac:dyDescent="0.2">
      <c r="A148" s="2" t="s">
        <v>31</v>
      </c>
      <c r="B148" s="1" t="s">
        <v>1220</v>
      </c>
      <c r="C148" s="1" t="s">
        <v>27</v>
      </c>
      <c r="D148" s="1" t="s">
        <v>28</v>
      </c>
      <c r="E148" s="8">
        <v>43370</v>
      </c>
      <c r="F148" s="9" t="s">
        <v>29</v>
      </c>
      <c r="G148" s="2" t="s">
        <v>1221</v>
      </c>
      <c r="H148" s="2" t="s">
        <v>1220</v>
      </c>
      <c r="I148" s="2" t="s">
        <v>1222</v>
      </c>
      <c r="J148" s="2" t="s">
        <v>33</v>
      </c>
      <c r="K148" s="2">
        <v>145.68</v>
      </c>
      <c r="L148" s="16">
        <v>5827.2000000000007</v>
      </c>
      <c r="M148" s="2" t="s">
        <v>1223</v>
      </c>
      <c r="N148" s="2" t="s">
        <v>35</v>
      </c>
      <c r="O148" s="2">
        <v>37.36</v>
      </c>
      <c r="P148" s="9">
        <f t="shared" si="5"/>
        <v>1307.5999999999999</v>
      </c>
      <c r="Q148" s="2" t="s">
        <v>1224</v>
      </c>
      <c r="R148" s="2" t="s">
        <v>37</v>
      </c>
      <c r="S148" s="9" t="s">
        <v>1225</v>
      </c>
      <c r="T148" s="9" t="s">
        <v>1112</v>
      </c>
      <c r="U148" s="9" t="s">
        <v>109</v>
      </c>
      <c r="V148" s="9">
        <v>2</v>
      </c>
      <c r="Y148" s="2" t="s">
        <v>1226</v>
      </c>
      <c r="Z148" s="19" t="s">
        <v>1114</v>
      </c>
      <c r="AA148" s="20" t="s">
        <v>1227</v>
      </c>
      <c r="AB148" s="20" t="s">
        <v>133</v>
      </c>
      <c r="AC148" s="20" t="s">
        <v>134</v>
      </c>
      <c r="AD148" s="20" t="s">
        <v>664</v>
      </c>
      <c r="AE148" s="20" t="s">
        <v>665</v>
      </c>
      <c r="AG148" s="23">
        <v>374</v>
      </c>
      <c r="AH148" s="23" t="s">
        <v>1226</v>
      </c>
      <c r="AI148" s="23" t="s">
        <v>1642</v>
      </c>
      <c r="AJ148" s="23" t="s">
        <v>134</v>
      </c>
      <c r="AK148" s="23" t="s">
        <v>665</v>
      </c>
      <c r="AL148" s="23">
        <v>0.56299999999999994</v>
      </c>
      <c r="AM148" s="24">
        <f t="shared" si="4"/>
        <v>8227019.9119999995</v>
      </c>
      <c r="AN148" s="23"/>
      <c r="AO148" s="25">
        <v>1461282400</v>
      </c>
      <c r="AP148" s="23"/>
      <c r="AQ148" s="1" t="s">
        <v>27</v>
      </c>
      <c r="AR148" s="23"/>
      <c r="AS148" s="23"/>
      <c r="AT148" s="29"/>
      <c r="AU148" s="29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</row>
    <row r="149" spans="1:182" s="9" customFormat="1" x14ac:dyDescent="0.2">
      <c r="A149" s="2" t="s">
        <v>31</v>
      </c>
      <c r="B149" s="1" t="s">
        <v>1228</v>
      </c>
      <c r="C149" s="1" t="s">
        <v>27</v>
      </c>
      <c r="D149" s="1" t="s">
        <v>28</v>
      </c>
      <c r="E149" s="8">
        <v>43370</v>
      </c>
      <c r="F149" s="9" t="s">
        <v>29</v>
      </c>
      <c r="G149" s="2" t="s">
        <v>1229</v>
      </c>
      <c r="H149" s="2" t="s">
        <v>1228</v>
      </c>
      <c r="I149" s="2" t="s">
        <v>1230</v>
      </c>
      <c r="J149" s="2" t="s">
        <v>33</v>
      </c>
      <c r="K149" s="2">
        <v>253.52</v>
      </c>
      <c r="L149" s="16">
        <v>10140.800000000001</v>
      </c>
      <c r="M149" s="2" t="s">
        <v>1231</v>
      </c>
      <c r="N149" s="2" t="s">
        <v>35</v>
      </c>
      <c r="O149" s="2">
        <v>35.28</v>
      </c>
      <c r="P149" s="9">
        <f t="shared" si="5"/>
        <v>1234.8</v>
      </c>
      <c r="Q149" s="2" t="s">
        <v>1232</v>
      </c>
      <c r="R149" s="2" t="s">
        <v>37</v>
      </c>
      <c r="S149" s="9" t="s">
        <v>1233</v>
      </c>
      <c r="T149" s="9" t="s">
        <v>1112</v>
      </c>
      <c r="U149" s="9" t="s">
        <v>120</v>
      </c>
      <c r="V149" s="9">
        <v>2</v>
      </c>
      <c r="Y149" s="2" t="s">
        <v>1234</v>
      </c>
      <c r="Z149" s="19" t="s">
        <v>1114</v>
      </c>
      <c r="AA149" s="20" t="s">
        <v>1235</v>
      </c>
      <c r="AB149" s="20" t="s">
        <v>133</v>
      </c>
      <c r="AC149" s="20" t="s">
        <v>134</v>
      </c>
      <c r="AD149" s="20" t="s">
        <v>673</v>
      </c>
      <c r="AE149" s="20" t="s">
        <v>674</v>
      </c>
      <c r="AG149" s="23">
        <v>375</v>
      </c>
      <c r="AH149" s="23" t="s">
        <v>1234</v>
      </c>
      <c r="AI149" s="23" t="s">
        <v>1642</v>
      </c>
      <c r="AJ149" s="23" t="s">
        <v>134</v>
      </c>
      <c r="AK149" s="23" t="s">
        <v>674</v>
      </c>
      <c r="AL149" s="23">
        <v>0.52</v>
      </c>
      <c r="AM149" s="24">
        <f t="shared" si="4"/>
        <v>7598668.4800000004</v>
      </c>
      <c r="AN149" s="23"/>
      <c r="AO149" s="25">
        <v>1461282400</v>
      </c>
      <c r="AP149" s="23"/>
      <c r="AQ149" s="1" t="s">
        <v>27</v>
      </c>
      <c r="AR149" s="23"/>
      <c r="AS149" s="23"/>
      <c r="AT149" s="29"/>
      <c r="AU149" s="29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</row>
    <row r="150" spans="1:182" s="9" customFormat="1" x14ac:dyDescent="0.2">
      <c r="A150" s="2" t="s">
        <v>31</v>
      </c>
      <c r="B150" s="1" t="s">
        <v>1236</v>
      </c>
      <c r="C150" s="1" t="s">
        <v>27</v>
      </c>
      <c r="D150" s="1" t="s">
        <v>28</v>
      </c>
      <c r="E150" s="8">
        <v>43370</v>
      </c>
      <c r="F150" s="9" t="s">
        <v>29</v>
      </c>
      <c r="G150" s="2" t="s">
        <v>1237</v>
      </c>
      <c r="H150" s="2" t="s">
        <v>1236</v>
      </c>
      <c r="I150" s="2" t="s">
        <v>1238</v>
      </c>
      <c r="J150" s="2" t="s">
        <v>33</v>
      </c>
      <c r="K150" s="2">
        <v>140.32</v>
      </c>
      <c r="L150" s="16">
        <v>5612.7999999999993</v>
      </c>
      <c r="M150" s="2" t="s">
        <v>1239</v>
      </c>
      <c r="N150" s="2" t="s">
        <v>35</v>
      </c>
      <c r="O150" s="2">
        <v>35.200000000000003</v>
      </c>
      <c r="P150" s="9">
        <f t="shared" si="5"/>
        <v>1232</v>
      </c>
      <c r="Q150" s="2" t="s">
        <v>1240</v>
      </c>
      <c r="R150" s="2" t="s">
        <v>37</v>
      </c>
      <c r="S150" s="9" t="s">
        <v>1241</v>
      </c>
      <c r="T150" s="9" t="s">
        <v>1112</v>
      </c>
      <c r="U150" s="9" t="s">
        <v>40</v>
      </c>
      <c r="V150" s="9">
        <v>3</v>
      </c>
      <c r="Y150" s="2" t="s">
        <v>1242</v>
      </c>
      <c r="Z150" s="19" t="s">
        <v>1114</v>
      </c>
      <c r="AA150" s="20" t="s">
        <v>1243</v>
      </c>
      <c r="AB150" s="20" t="s">
        <v>199</v>
      </c>
      <c r="AC150" s="20" t="s">
        <v>200</v>
      </c>
      <c r="AD150" s="20" t="s">
        <v>610</v>
      </c>
      <c r="AE150" s="20" t="s">
        <v>611</v>
      </c>
      <c r="AG150" s="23">
        <v>376</v>
      </c>
      <c r="AH150" s="23" t="s">
        <v>1242</v>
      </c>
      <c r="AI150" s="23" t="s">
        <v>1642</v>
      </c>
      <c r="AJ150" s="23" t="s">
        <v>200</v>
      </c>
      <c r="AK150" s="23" t="s">
        <v>611</v>
      </c>
      <c r="AL150" s="23">
        <v>0.50880000000000003</v>
      </c>
      <c r="AM150" s="24">
        <f t="shared" si="4"/>
        <v>7435004.8512000004</v>
      </c>
      <c r="AN150" s="23"/>
      <c r="AO150" s="25">
        <v>1461282400</v>
      </c>
      <c r="AP150" s="23"/>
      <c r="AQ150" s="1" t="s">
        <v>27</v>
      </c>
      <c r="AR150" s="23"/>
      <c r="AS150" s="23"/>
      <c r="AT150" s="29"/>
      <c r="AU150" s="29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</row>
    <row r="151" spans="1:182" s="9" customFormat="1" x14ac:dyDescent="0.2">
      <c r="A151" s="2" t="s">
        <v>31</v>
      </c>
      <c r="B151" s="1" t="s">
        <v>1244</v>
      </c>
      <c r="C151" s="1" t="s">
        <v>27</v>
      </c>
      <c r="D151" s="1" t="s">
        <v>28</v>
      </c>
      <c r="E151" s="8">
        <v>43370</v>
      </c>
      <c r="F151" s="9" t="s">
        <v>29</v>
      </c>
      <c r="G151" s="2" t="s">
        <v>1245</v>
      </c>
      <c r="H151" s="2" t="s">
        <v>1244</v>
      </c>
      <c r="I151" s="2" t="s">
        <v>1246</v>
      </c>
      <c r="J151" s="2" t="s">
        <v>33</v>
      </c>
      <c r="K151" s="2">
        <v>174.88</v>
      </c>
      <c r="L151" s="16">
        <v>6995.2</v>
      </c>
      <c r="M151" s="2" t="s">
        <v>1247</v>
      </c>
      <c r="N151" s="2" t="s">
        <v>35</v>
      </c>
      <c r="O151" s="2">
        <v>39.6</v>
      </c>
      <c r="P151" s="9">
        <f t="shared" si="5"/>
        <v>1386</v>
      </c>
      <c r="Q151" s="2" t="s">
        <v>1248</v>
      </c>
      <c r="R151" s="2" t="s">
        <v>37</v>
      </c>
      <c r="S151" s="9" t="s">
        <v>1249</v>
      </c>
      <c r="T151" s="9" t="s">
        <v>1112</v>
      </c>
      <c r="U151" s="9" t="s">
        <v>54</v>
      </c>
      <c r="V151" s="9">
        <v>3</v>
      </c>
      <c r="Y151" s="2" t="s">
        <v>1250</v>
      </c>
      <c r="Z151" s="19" t="s">
        <v>1114</v>
      </c>
      <c r="AA151" s="20" t="s">
        <v>1251</v>
      </c>
      <c r="AB151" s="20" t="s">
        <v>199</v>
      </c>
      <c r="AC151" s="20" t="s">
        <v>200</v>
      </c>
      <c r="AD151" s="20" t="s">
        <v>619</v>
      </c>
      <c r="AE151" s="20" t="s">
        <v>620</v>
      </c>
      <c r="AG151" s="23">
        <v>377</v>
      </c>
      <c r="AH151" s="23" t="s">
        <v>1250</v>
      </c>
      <c r="AI151" s="23" t="s">
        <v>1642</v>
      </c>
      <c r="AJ151" s="23" t="s">
        <v>200</v>
      </c>
      <c r="AK151" s="23" t="s">
        <v>620</v>
      </c>
      <c r="AL151" s="23">
        <v>0.46189999999999998</v>
      </c>
      <c r="AM151" s="24">
        <f t="shared" si="4"/>
        <v>6749663.4055999992</v>
      </c>
      <c r="AN151" s="23"/>
      <c r="AO151" s="25">
        <v>1461282400</v>
      </c>
      <c r="AP151" s="23"/>
      <c r="AQ151" s="1" t="s">
        <v>27</v>
      </c>
      <c r="AR151" s="23"/>
      <c r="AS151" s="23"/>
      <c r="AT151" s="29"/>
      <c r="AU151" s="29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</row>
    <row r="152" spans="1:182" s="9" customFormat="1" x14ac:dyDescent="0.2">
      <c r="A152" s="2" t="s">
        <v>31</v>
      </c>
      <c r="B152" s="1" t="s">
        <v>1252</v>
      </c>
      <c r="C152" s="1" t="s">
        <v>27</v>
      </c>
      <c r="D152" s="1" t="s">
        <v>28</v>
      </c>
      <c r="E152" s="8">
        <v>43370</v>
      </c>
      <c r="F152" s="9" t="s">
        <v>29</v>
      </c>
      <c r="G152" s="2" t="s">
        <v>1253</v>
      </c>
      <c r="H152" s="2" t="s">
        <v>1252</v>
      </c>
      <c r="I152" s="2" t="s">
        <v>1254</v>
      </c>
      <c r="J152" s="2" t="s">
        <v>33</v>
      </c>
      <c r="K152" s="2">
        <v>306.72000000000003</v>
      </c>
      <c r="L152" s="16">
        <v>12268.800000000001</v>
      </c>
      <c r="M152" s="2" t="s">
        <v>1255</v>
      </c>
      <c r="N152" s="2" t="s">
        <v>35</v>
      </c>
      <c r="O152" s="2">
        <v>43.76</v>
      </c>
      <c r="P152" s="9">
        <f t="shared" si="5"/>
        <v>1531.6</v>
      </c>
      <c r="Q152" s="2" t="s">
        <v>1256</v>
      </c>
      <c r="R152" s="2" t="s">
        <v>37</v>
      </c>
      <c r="S152" s="9" t="s">
        <v>1257</v>
      </c>
      <c r="T152" s="9" t="s">
        <v>1112</v>
      </c>
      <c r="U152" s="9" t="s">
        <v>65</v>
      </c>
      <c r="V152" s="9">
        <v>3</v>
      </c>
      <c r="Y152" s="2" t="s">
        <v>1258</v>
      </c>
      <c r="Z152" s="19" t="s">
        <v>1114</v>
      </c>
      <c r="AA152" s="20" t="s">
        <v>1259</v>
      </c>
      <c r="AB152" s="20" t="s">
        <v>199</v>
      </c>
      <c r="AC152" s="20" t="s">
        <v>200</v>
      </c>
      <c r="AD152" s="20" t="s">
        <v>628</v>
      </c>
      <c r="AE152" s="20" t="s">
        <v>629</v>
      </c>
      <c r="AG152" s="23">
        <v>378</v>
      </c>
      <c r="AH152" s="23" t="s">
        <v>1258</v>
      </c>
      <c r="AI152" s="23" t="s">
        <v>1642</v>
      </c>
      <c r="AJ152" s="23" t="s">
        <v>200</v>
      </c>
      <c r="AK152" s="23" t="s">
        <v>629</v>
      </c>
      <c r="AL152" s="23">
        <v>0.57040000000000002</v>
      </c>
      <c r="AM152" s="24">
        <f t="shared" si="4"/>
        <v>8335154.8096000003</v>
      </c>
      <c r="AN152" s="23"/>
      <c r="AO152" s="25">
        <v>1461282400</v>
      </c>
      <c r="AP152" s="23"/>
      <c r="AQ152" s="1" t="s">
        <v>27</v>
      </c>
      <c r="AR152" s="23"/>
      <c r="AS152" s="23"/>
      <c r="AT152" s="29"/>
      <c r="AU152" s="29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</row>
    <row r="153" spans="1:182" s="9" customFormat="1" x14ac:dyDescent="0.2">
      <c r="A153" s="2" t="s">
        <v>31</v>
      </c>
      <c r="B153" s="1" t="s">
        <v>1260</v>
      </c>
      <c r="C153" s="1" t="s">
        <v>27</v>
      </c>
      <c r="D153" s="1" t="s">
        <v>28</v>
      </c>
      <c r="E153" s="8">
        <v>43370</v>
      </c>
      <c r="F153" s="9" t="s">
        <v>29</v>
      </c>
      <c r="G153" s="2" t="s">
        <v>1261</v>
      </c>
      <c r="H153" s="2" t="s">
        <v>1260</v>
      </c>
      <c r="I153" s="2" t="s">
        <v>1262</v>
      </c>
      <c r="J153" s="2" t="s">
        <v>33</v>
      </c>
      <c r="K153" s="2">
        <v>161.76</v>
      </c>
      <c r="L153" s="16">
        <v>3488</v>
      </c>
      <c r="M153" s="2" t="s">
        <v>1263</v>
      </c>
      <c r="N153" s="2" t="s">
        <v>35</v>
      </c>
      <c r="O153" s="2">
        <v>39.840000000000003</v>
      </c>
      <c r="P153" s="9">
        <f t="shared" si="5"/>
        <v>1394.4</v>
      </c>
      <c r="Q153" s="2" t="s">
        <v>1264</v>
      </c>
      <c r="R153" s="2" t="s">
        <v>37</v>
      </c>
      <c r="S153" s="9" t="s">
        <v>1265</v>
      </c>
      <c r="T153" s="9" t="s">
        <v>1112</v>
      </c>
      <c r="U153" s="9" t="s">
        <v>76</v>
      </c>
      <c r="V153" s="9">
        <v>3</v>
      </c>
      <c r="Y153" s="2" t="s">
        <v>1266</v>
      </c>
      <c r="Z153" s="19" t="s">
        <v>1114</v>
      </c>
      <c r="AA153" s="20" t="s">
        <v>1267</v>
      </c>
      <c r="AB153" s="20" t="s">
        <v>199</v>
      </c>
      <c r="AC153" s="20" t="s">
        <v>200</v>
      </c>
      <c r="AD153" s="20" t="s">
        <v>637</v>
      </c>
      <c r="AE153" s="20" t="s">
        <v>638</v>
      </c>
      <c r="AG153" s="23">
        <v>379</v>
      </c>
      <c r="AH153" s="23" t="s">
        <v>1266</v>
      </c>
      <c r="AI153" s="23" t="s">
        <v>1642</v>
      </c>
      <c r="AJ153" s="23" t="s">
        <v>200</v>
      </c>
      <c r="AK153" s="23" t="s">
        <v>638</v>
      </c>
      <c r="AL153" s="23">
        <v>0.32329999999999998</v>
      </c>
      <c r="AM153" s="24">
        <f t="shared" si="4"/>
        <v>4724325.9991999995</v>
      </c>
      <c r="AN153" s="23"/>
      <c r="AO153" s="25">
        <v>1461282400</v>
      </c>
      <c r="AP153" s="23"/>
      <c r="AQ153" s="1" t="s">
        <v>27</v>
      </c>
      <c r="AR153" s="23"/>
      <c r="AS153" s="23"/>
      <c r="AT153" s="29"/>
      <c r="AU153" s="29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</row>
    <row r="154" spans="1:182" s="9" customFormat="1" x14ac:dyDescent="0.2">
      <c r="A154" s="2" t="s">
        <v>31</v>
      </c>
      <c r="B154" s="1" t="s">
        <v>1268</v>
      </c>
      <c r="C154" s="1" t="s">
        <v>27</v>
      </c>
      <c r="D154" s="1" t="s">
        <v>28</v>
      </c>
      <c r="E154" s="8">
        <v>43370</v>
      </c>
      <c r="F154" s="9" t="s">
        <v>29</v>
      </c>
      <c r="G154" s="2" t="s">
        <v>1269</v>
      </c>
      <c r="H154" s="2" t="s">
        <v>1268</v>
      </c>
      <c r="I154" s="2" t="s">
        <v>1270</v>
      </c>
      <c r="J154" s="2" t="s">
        <v>33</v>
      </c>
      <c r="K154" s="2">
        <v>157.36000000000001</v>
      </c>
      <c r="L154" s="16">
        <v>6294.4000000000005</v>
      </c>
      <c r="M154" s="2" t="s">
        <v>1271</v>
      </c>
      <c r="N154" s="2" t="s">
        <v>35</v>
      </c>
      <c r="O154" s="2">
        <v>40.24</v>
      </c>
      <c r="P154" s="9">
        <f t="shared" si="5"/>
        <v>1408.4</v>
      </c>
      <c r="Q154" s="2" t="s">
        <v>1272</v>
      </c>
      <c r="R154" s="2" t="s">
        <v>37</v>
      </c>
      <c r="S154" s="9" t="s">
        <v>1273</v>
      </c>
      <c r="T154" s="9" t="s">
        <v>1112</v>
      </c>
      <c r="U154" s="9" t="s">
        <v>87</v>
      </c>
      <c r="V154" s="9">
        <v>3</v>
      </c>
      <c r="Y154" s="2" t="s">
        <v>1274</v>
      </c>
      <c r="Z154" s="19" t="s">
        <v>1114</v>
      </c>
      <c r="AA154" s="20" t="s">
        <v>1275</v>
      </c>
      <c r="AB154" s="20" t="s">
        <v>199</v>
      </c>
      <c r="AC154" s="20" t="s">
        <v>200</v>
      </c>
      <c r="AD154" s="20" t="s">
        <v>646</v>
      </c>
      <c r="AE154" s="20" t="s">
        <v>647</v>
      </c>
      <c r="AG154" s="23">
        <v>380</v>
      </c>
      <c r="AH154" s="23" t="s">
        <v>1274</v>
      </c>
      <c r="AI154" s="23" t="s">
        <v>1642</v>
      </c>
      <c r="AJ154" s="23" t="s">
        <v>200</v>
      </c>
      <c r="AK154" s="23" t="s">
        <v>647</v>
      </c>
      <c r="AL154" s="23">
        <v>0.55549999999999999</v>
      </c>
      <c r="AM154" s="24">
        <f t="shared" si="4"/>
        <v>8117423.7320000008</v>
      </c>
      <c r="AN154" s="23"/>
      <c r="AO154" s="25">
        <v>1461282400</v>
      </c>
      <c r="AP154" s="23"/>
      <c r="AQ154" s="1" t="s">
        <v>27</v>
      </c>
      <c r="AR154" s="23"/>
      <c r="AS154" s="23"/>
      <c r="AT154" s="29"/>
      <c r="AU154" s="29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</row>
    <row r="155" spans="1:182" s="9" customFormat="1" x14ac:dyDescent="0.2">
      <c r="A155" s="2" t="s">
        <v>31</v>
      </c>
      <c r="B155" s="1" t="s">
        <v>1276</v>
      </c>
      <c r="C155" s="1" t="s">
        <v>27</v>
      </c>
      <c r="D155" s="1" t="s">
        <v>28</v>
      </c>
      <c r="E155" s="8">
        <v>43370</v>
      </c>
      <c r="F155" s="9" t="s">
        <v>29</v>
      </c>
      <c r="G155" s="2" t="s">
        <v>1277</v>
      </c>
      <c r="H155" s="2" t="s">
        <v>1276</v>
      </c>
      <c r="I155" s="2" t="s">
        <v>1278</v>
      </c>
      <c r="J155" s="2" t="s">
        <v>33</v>
      </c>
      <c r="K155" s="2">
        <v>264.8</v>
      </c>
      <c r="L155" s="16">
        <v>10592</v>
      </c>
      <c r="M155" s="2" t="s">
        <v>1279</v>
      </c>
      <c r="N155" s="2" t="s">
        <v>35</v>
      </c>
      <c r="O155" s="2">
        <v>38.159999999999997</v>
      </c>
      <c r="P155" s="9">
        <f t="shared" si="5"/>
        <v>1335.6</v>
      </c>
      <c r="Q155" s="2" t="s">
        <v>1280</v>
      </c>
      <c r="R155" s="2" t="s">
        <v>37</v>
      </c>
      <c r="S155" s="9" t="s">
        <v>1281</v>
      </c>
      <c r="T155" s="9" t="s">
        <v>1112</v>
      </c>
      <c r="U155" s="9" t="s">
        <v>98</v>
      </c>
      <c r="V155" s="9">
        <v>3</v>
      </c>
      <c r="Y155" s="2" t="s">
        <v>1282</v>
      </c>
      <c r="Z155" s="19" t="s">
        <v>1114</v>
      </c>
      <c r="AA155" s="20" t="s">
        <v>1283</v>
      </c>
      <c r="AB155" s="20" t="s">
        <v>199</v>
      </c>
      <c r="AC155" s="20" t="s">
        <v>200</v>
      </c>
      <c r="AD155" s="20" t="s">
        <v>655</v>
      </c>
      <c r="AE155" s="20" t="s">
        <v>656</v>
      </c>
      <c r="AG155" s="23">
        <v>381</v>
      </c>
      <c r="AH155" s="23" t="s">
        <v>1282</v>
      </c>
      <c r="AI155" s="23" t="s">
        <v>1642</v>
      </c>
      <c r="AJ155" s="23" t="s">
        <v>200</v>
      </c>
      <c r="AK155" s="23" t="s">
        <v>656</v>
      </c>
      <c r="AL155" s="23">
        <v>0.48370000000000002</v>
      </c>
      <c r="AM155" s="24">
        <f t="shared" si="4"/>
        <v>7068222.9687999999</v>
      </c>
      <c r="AN155" s="23"/>
      <c r="AO155" s="25">
        <v>1461282400</v>
      </c>
      <c r="AP155" s="23"/>
      <c r="AQ155" s="1" t="s">
        <v>27</v>
      </c>
      <c r="AR155" s="23"/>
      <c r="AS155" s="23"/>
      <c r="AT155" s="29"/>
      <c r="AU155" s="29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</row>
    <row r="156" spans="1:182" s="9" customFormat="1" x14ac:dyDescent="0.2">
      <c r="A156" s="2" t="s">
        <v>31</v>
      </c>
      <c r="B156" s="1" t="s">
        <v>1284</v>
      </c>
      <c r="C156" s="1" t="s">
        <v>27</v>
      </c>
      <c r="D156" s="1" t="s">
        <v>28</v>
      </c>
      <c r="E156" s="8">
        <v>43370</v>
      </c>
      <c r="F156" s="9" t="s">
        <v>29</v>
      </c>
      <c r="G156" s="2" t="s">
        <v>1285</v>
      </c>
      <c r="H156" s="2" t="s">
        <v>1284</v>
      </c>
      <c r="I156" s="2" t="s">
        <v>1286</v>
      </c>
      <c r="J156" s="2" t="s">
        <v>33</v>
      </c>
      <c r="K156" s="2">
        <v>281.60000000000002</v>
      </c>
      <c r="L156" s="16">
        <v>11264</v>
      </c>
      <c r="M156" s="2" t="s">
        <v>1287</v>
      </c>
      <c r="N156" s="2" t="s">
        <v>35</v>
      </c>
      <c r="O156" s="2">
        <v>39.92</v>
      </c>
      <c r="P156" s="9">
        <f t="shared" si="5"/>
        <v>1397.2</v>
      </c>
      <c r="Q156" s="2" t="s">
        <v>1288</v>
      </c>
      <c r="R156" s="2" t="s">
        <v>37</v>
      </c>
      <c r="S156" s="9" t="s">
        <v>1289</v>
      </c>
      <c r="T156" s="9" t="s">
        <v>1112</v>
      </c>
      <c r="U156" s="9" t="s">
        <v>109</v>
      </c>
      <c r="V156" s="9">
        <v>3</v>
      </c>
      <c r="Y156" s="2" t="s">
        <v>1290</v>
      </c>
      <c r="Z156" s="19" t="s">
        <v>1114</v>
      </c>
      <c r="AA156" s="20" t="s">
        <v>1291</v>
      </c>
      <c r="AB156" s="20" t="s">
        <v>199</v>
      </c>
      <c r="AC156" s="20" t="s">
        <v>200</v>
      </c>
      <c r="AD156" s="20" t="s">
        <v>664</v>
      </c>
      <c r="AE156" s="20" t="s">
        <v>665</v>
      </c>
      <c r="AG156" s="23">
        <v>382</v>
      </c>
      <c r="AH156" s="23" t="s">
        <v>1290</v>
      </c>
      <c r="AI156" s="23" t="s">
        <v>1642</v>
      </c>
      <c r="AJ156" s="23" t="s">
        <v>200</v>
      </c>
      <c r="AK156" s="23" t="s">
        <v>665</v>
      </c>
      <c r="AL156" s="23">
        <v>0.47210000000000002</v>
      </c>
      <c r="AM156" s="24">
        <f t="shared" si="4"/>
        <v>6898714.2104000011</v>
      </c>
      <c r="AN156" s="23"/>
      <c r="AO156" s="25">
        <v>1461282400</v>
      </c>
      <c r="AP156" s="23"/>
      <c r="AQ156" s="1" t="s">
        <v>27</v>
      </c>
      <c r="AR156" s="23"/>
      <c r="AS156" s="23"/>
      <c r="AT156" s="29"/>
      <c r="AU156" s="29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</row>
    <row r="157" spans="1:182" s="9" customFormat="1" x14ac:dyDescent="0.2">
      <c r="A157" s="2" t="s">
        <v>31</v>
      </c>
      <c r="B157" s="1" t="s">
        <v>1292</v>
      </c>
      <c r="C157" s="1" t="s">
        <v>27</v>
      </c>
      <c r="D157" s="1" t="s">
        <v>28</v>
      </c>
      <c r="E157" s="8">
        <v>43370</v>
      </c>
      <c r="F157" s="9" t="s">
        <v>29</v>
      </c>
      <c r="G157" s="2" t="s">
        <v>1293</v>
      </c>
      <c r="H157" s="2" t="s">
        <v>1292</v>
      </c>
      <c r="I157" s="2" t="s">
        <v>1294</v>
      </c>
      <c r="J157" s="2" t="s">
        <v>33</v>
      </c>
      <c r="K157" s="2">
        <v>154.24</v>
      </c>
      <c r="L157" s="16">
        <v>6169.6</v>
      </c>
      <c r="M157" s="2" t="s">
        <v>1295</v>
      </c>
      <c r="N157" s="2" t="s">
        <v>35</v>
      </c>
      <c r="O157" s="2">
        <v>35.200000000000003</v>
      </c>
      <c r="P157" s="9">
        <f t="shared" si="5"/>
        <v>1232</v>
      </c>
      <c r="Q157" s="2" t="s">
        <v>1296</v>
      </c>
      <c r="R157" s="2" t="s">
        <v>37</v>
      </c>
      <c r="S157" s="9" t="s">
        <v>1297</v>
      </c>
      <c r="T157" s="9" t="s">
        <v>1112</v>
      </c>
      <c r="U157" s="9" t="s">
        <v>120</v>
      </c>
      <c r="V157" s="9">
        <v>3</v>
      </c>
      <c r="Y157" s="2" t="s">
        <v>1298</v>
      </c>
      <c r="Z157" s="19" t="s">
        <v>1114</v>
      </c>
      <c r="AA157" s="20" t="s">
        <v>1299</v>
      </c>
      <c r="AB157" s="20" t="s">
        <v>199</v>
      </c>
      <c r="AC157" s="20" t="s">
        <v>200</v>
      </c>
      <c r="AD157" s="20" t="s">
        <v>673</v>
      </c>
      <c r="AE157" s="20" t="s">
        <v>674</v>
      </c>
      <c r="AG157" s="23">
        <v>383</v>
      </c>
      <c r="AH157" s="23" t="s">
        <v>1298</v>
      </c>
      <c r="AI157" s="23" t="s">
        <v>1642</v>
      </c>
      <c r="AJ157" s="23" t="s">
        <v>200</v>
      </c>
      <c r="AK157" s="23" t="s">
        <v>674</v>
      </c>
      <c r="AL157" s="23">
        <v>0.46360000000000001</v>
      </c>
      <c r="AM157" s="24">
        <f t="shared" si="4"/>
        <v>6774505.2063999996</v>
      </c>
      <c r="AN157" s="23"/>
      <c r="AO157" s="25">
        <v>1461282400</v>
      </c>
      <c r="AP157" s="23"/>
      <c r="AQ157" s="1" t="s">
        <v>27</v>
      </c>
      <c r="AR157" s="23"/>
      <c r="AS157" s="23"/>
      <c r="AT157" s="29"/>
      <c r="AU157" s="29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</row>
    <row r="158" spans="1:182" s="9" customFormat="1" x14ac:dyDescent="0.2">
      <c r="A158" s="2" t="s">
        <v>31</v>
      </c>
      <c r="B158" s="1" t="s">
        <v>1300</v>
      </c>
      <c r="C158" s="1" t="s">
        <v>27</v>
      </c>
      <c r="D158" s="1" t="s">
        <v>28</v>
      </c>
      <c r="E158" s="8">
        <v>43370</v>
      </c>
      <c r="F158" s="9" t="s">
        <v>29</v>
      </c>
      <c r="G158" s="2" t="s">
        <v>1301</v>
      </c>
      <c r="H158" s="2" t="s">
        <v>1300</v>
      </c>
      <c r="I158" s="2" t="s">
        <v>1302</v>
      </c>
      <c r="J158" s="2" t="s">
        <v>33</v>
      </c>
      <c r="K158" s="2">
        <v>215.52</v>
      </c>
      <c r="L158" s="16">
        <v>8620.8000000000011</v>
      </c>
      <c r="M158" s="2" t="s">
        <v>1303</v>
      </c>
      <c r="N158" s="2" t="s">
        <v>35</v>
      </c>
      <c r="O158" s="2">
        <v>37.6</v>
      </c>
      <c r="P158" s="9">
        <f t="shared" si="5"/>
        <v>1316</v>
      </c>
      <c r="Q158" s="2" t="s">
        <v>1304</v>
      </c>
      <c r="R158" s="2" t="s">
        <v>37</v>
      </c>
      <c r="S158" s="9" t="s">
        <v>1305</v>
      </c>
      <c r="T158" s="9" t="s">
        <v>1112</v>
      </c>
      <c r="U158" s="9" t="s">
        <v>40</v>
      </c>
      <c r="V158" s="9">
        <v>4</v>
      </c>
      <c r="Y158" s="2" t="s">
        <v>1306</v>
      </c>
      <c r="Z158" s="19" t="s">
        <v>1114</v>
      </c>
      <c r="AA158" s="20" t="s">
        <v>1307</v>
      </c>
      <c r="AB158" s="20" t="s">
        <v>265</v>
      </c>
      <c r="AC158" s="20" t="s">
        <v>266</v>
      </c>
      <c r="AD158" s="20" t="s">
        <v>610</v>
      </c>
      <c r="AE158" s="20" t="s">
        <v>611</v>
      </c>
      <c r="AG158" s="23">
        <v>384</v>
      </c>
      <c r="AH158" s="23" t="s">
        <v>1306</v>
      </c>
      <c r="AI158" s="23" t="s">
        <v>1642</v>
      </c>
      <c r="AJ158" s="23" t="s">
        <v>266</v>
      </c>
      <c r="AK158" s="23" t="s">
        <v>611</v>
      </c>
      <c r="AL158" s="23">
        <v>0.54420000000000002</v>
      </c>
      <c r="AM158" s="24">
        <f t="shared" si="4"/>
        <v>7952298.8208000008</v>
      </c>
      <c r="AN158" s="23"/>
      <c r="AO158" s="25">
        <v>1461282400</v>
      </c>
      <c r="AP158" s="23"/>
      <c r="AQ158" s="1" t="s">
        <v>27</v>
      </c>
      <c r="AR158" s="23"/>
      <c r="AS158" s="23"/>
      <c r="AT158" s="29"/>
      <c r="AU158" s="29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</row>
    <row r="159" spans="1:182" s="9" customFormat="1" x14ac:dyDescent="0.2">
      <c r="A159" s="2" t="s">
        <v>31</v>
      </c>
      <c r="B159" s="1" t="s">
        <v>1308</v>
      </c>
      <c r="C159" s="1" t="s">
        <v>27</v>
      </c>
      <c r="D159" s="1" t="s">
        <v>28</v>
      </c>
      <c r="E159" s="8">
        <v>43370</v>
      </c>
      <c r="F159" s="9" t="s">
        <v>29</v>
      </c>
      <c r="G159" s="2" t="s">
        <v>1309</v>
      </c>
      <c r="H159" s="2" t="s">
        <v>1308</v>
      </c>
      <c r="I159" s="2" t="s">
        <v>1310</v>
      </c>
      <c r="J159" s="2" t="s">
        <v>33</v>
      </c>
      <c r="K159" s="2">
        <v>161.6</v>
      </c>
      <c r="L159" s="16">
        <v>6464</v>
      </c>
      <c r="M159" s="2" t="s">
        <v>1311</v>
      </c>
      <c r="N159" s="2" t="s">
        <v>35</v>
      </c>
      <c r="O159" s="2">
        <v>37.840000000000003</v>
      </c>
      <c r="P159" s="9">
        <f t="shared" si="5"/>
        <v>1324.4</v>
      </c>
      <c r="Q159" s="2" t="s">
        <v>1312</v>
      </c>
      <c r="R159" s="2" t="s">
        <v>37</v>
      </c>
      <c r="S159" s="9" t="s">
        <v>1313</v>
      </c>
      <c r="T159" s="9" t="s">
        <v>1112</v>
      </c>
      <c r="U159" s="9" t="s">
        <v>54</v>
      </c>
      <c r="V159" s="9">
        <v>4</v>
      </c>
      <c r="Y159" s="2" t="s">
        <v>1314</v>
      </c>
      <c r="Z159" s="19" t="s">
        <v>1114</v>
      </c>
      <c r="AA159" s="20" t="s">
        <v>1315</v>
      </c>
      <c r="AB159" s="20" t="s">
        <v>265</v>
      </c>
      <c r="AC159" s="20" t="s">
        <v>266</v>
      </c>
      <c r="AD159" s="20" t="s">
        <v>619</v>
      </c>
      <c r="AE159" s="20" t="s">
        <v>620</v>
      </c>
      <c r="AG159" s="23">
        <v>385</v>
      </c>
      <c r="AH159" s="23" t="s">
        <v>1314</v>
      </c>
      <c r="AI159" s="23" t="s">
        <v>1642</v>
      </c>
      <c r="AJ159" s="23" t="s">
        <v>266</v>
      </c>
      <c r="AK159" s="23" t="s">
        <v>620</v>
      </c>
      <c r="AL159" s="23">
        <v>0.4909</v>
      </c>
      <c r="AM159" s="24">
        <f t="shared" si="4"/>
        <v>7173435.3015999999</v>
      </c>
      <c r="AN159" s="23"/>
      <c r="AO159" s="25">
        <v>1461282400</v>
      </c>
      <c r="AP159" s="23"/>
      <c r="AQ159" s="1" t="s">
        <v>27</v>
      </c>
      <c r="AR159" s="23"/>
      <c r="AS159" s="23"/>
      <c r="AT159" s="29"/>
      <c r="AU159" s="29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</row>
    <row r="160" spans="1:182" s="9" customFormat="1" x14ac:dyDescent="0.2">
      <c r="A160" s="2" t="s">
        <v>31</v>
      </c>
      <c r="B160" s="1" t="s">
        <v>1316</v>
      </c>
      <c r="C160" s="1" t="s">
        <v>27</v>
      </c>
      <c r="D160" s="1" t="s">
        <v>28</v>
      </c>
      <c r="E160" s="8">
        <v>43370</v>
      </c>
      <c r="F160" s="9" t="s">
        <v>29</v>
      </c>
      <c r="G160" s="2" t="s">
        <v>1317</v>
      </c>
      <c r="H160" s="2" t="s">
        <v>1316</v>
      </c>
      <c r="I160" s="2" t="s">
        <v>1318</v>
      </c>
      <c r="J160" s="2" t="s">
        <v>33</v>
      </c>
      <c r="K160" s="2">
        <v>166.24</v>
      </c>
      <c r="L160" s="16">
        <v>6649.6</v>
      </c>
      <c r="M160" s="2" t="s">
        <v>1319</v>
      </c>
      <c r="N160" s="2" t="s">
        <v>35</v>
      </c>
      <c r="O160" s="2">
        <v>39.36</v>
      </c>
      <c r="P160" s="9">
        <f t="shared" si="5"/>
        <v>1377.6</v>
      </c>
      <c r="Q160" s="2" t="s">
        <v>1320</v>
      </c>
      <c r="R160" s="2" t="s">
        <v>37</v>
      </c>
      <c r="S160" s="9" t="s">
        <v>1321</v>
      </c>
      <c r="T160" s="9" t="s">
        <v>1112</v>
      </c>
      <c r="U160" s="9" t="s">
        <v>65</v>
      </c>
      <c r="V160" s="9">
        <v>4</v>
      </c>
      <c r="Y160" s="2" t="s">
        <v>1322</v>
      </c>
      <c r="Z160" s="19" t="s">
        <v>1114</v>
      </c>
      <c r="AA160" s="20" t="s">
        <v>1323</v>
      </c>
      <c r="AB160" s="20" t="s">
        <v>265</v>
      </c>
      <c r="AC160" s="20" t="s">
        <v>266</v>
      </c>
      <c r="AD160" s="20" t="s">
        <v>628</v>
      </c>
      <c r="AE160" s="20" t="s">
        <v>629</v>
      </c>
      <c r="AG160" s="23">
        <v>386</v>
      </c>
      <c r="AH160" s="23" t="s">
        <v>1322</v>
      </c>
      <c r="AI160" s="23" t="s">
        <v>1642</v>
      </c>
      <c r="AJ160" s="23" t="s">
        <v>266</v>
      </c>
      <c r="AK160" s="23" t="s">
        <v>629</v>
      </c>
      <c r="AL160" s="23">
        <v>0.46150000000000002</v>
      </c>
      <c r="AM160" s="24">
        <f t="shared" si="4"/>
        <v>6743818.2760000005</v>
      </c>
      <c r="AN160" s="23"/>
      <c r="AO160" s="25">
        <v>1461282400</v>
      </c>
      <c r="AP160" s="23"/>
      <c r="AQ160" s="1" t="s">
        <v>27</v>
      </c>
      <c r="AR160" s="23"/>
      <c r="AS160" s="23"/>
      <c r="AT160" s="29"/>
      <c r="AU160" s="29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</row>
    <row r="161" spans="1:182" s="9" customFormat="1" x14ac:dyDescent="0.2">
      <c r="A161" s="2" t="s">
        <v>31</v>
      </c>
      <c r="B161" s="1" t="s">
        <v>1324</v>
      </c>
      <c r="C161" s="1" t="s">
        <v>27</v>
      </c>
      <c r="D161" s="1" t="s">
        <v>28</v>
      </c>
      <c r="E161" s="8">
        <v>43370</v>
      </c>
      <c r="F161" s="9" t="s">
        <v>29</v>
      </c>
      <c r="G161" s="2" t="s">
        <v>1325</v>
      </c>
      <c r="H161" s="2" t="s">
        <v>1324</v>
      </c>
      <c r="I161" s="3" t="s">
        <v>1326</v>
      </c>
      <c r="J161" s="2" t="s">
        <v>33</v>
      </c>
      <c r="K161" s="3">
        <v>30.88</v>
      </c>
      <c r="L161" s="21">
        <v>1235.2</v>
      </c>
      <c r="M161" s="2" t="s">
        <v>1327</v>
      </c>
      <c r="N161" s="2" t="s">
        <v>35</v>
      </c>
      <c r="O161" s="2">
        <v>28.08</v>
      </c>
      <c r="P161" s="9">
        <f t="shared" si="5"/>
        <v>982.8</v>
      </c>
      <c r="Q161" s="2" t="s">
        <v>1328</v>
      </c>
      <c r="R161" s="2" t="s">
        <v>37</v>
      </c>
      <c r="S161" s="9" t="s">
        <v>1329</v>
      </c>
      <c r="T161" s="9" t="s">
        <v>1112</v>
      </c>
      <c r="U161" s="9" t="s">
        <v>76</v>
      </c>
      <c r="V161" s="9">
        <v>4</v>
      </c>
      <c r="Y161" s="2" t="s">
        <v>1330</v>
      </c>
      <c r="Z161" s="19" t="s">
        <v>1114</v>
      </c>
      <c r="AA161" s="20" t="s">
        <v>1331</v>
      </c>
      <c r="AB161" s="20" t="s">
        <v>265</v>
      </c>
      <c r="AC161" s="20" t="s">
        <v>266</v>
      </c>
      <c r="AD161" s="20" t="s">
        <v>637</v>
      </c>
      <c r="AE161" s="20" t="s">
        <v>638</v>
      </c>
      <c r="AG161" s="23">
        <v>387</v>
      </c>
      <c r="AH161" s="23" t="s">
        <v>1330</v>
      </c>
      <c r="AI161" s="23" t="s">
        <v>1642</v>
      </c>
      <c r="AJ161" s="23" t="s">
        <v>266</v>
      </c>
      <c r="AK161" s="23" t="s">
        <v>638</v>
      </c>
      <c r="AL161" s="23">
        <v>0.54339999999999999</v>
      </c>
      <c r="AM161" s="24">
        <f t="shared" si="4"/>
        <v>7940608.5615999997</v>
      </c>
      <c r="AN161" s="23"/>
      <c r="AO161" s="25">
        <v>1461282400</v>
      </c>
      <c r="AP161" s="23"/>
      <c r="AQ161" s="1" t="s">
        <v>27</v>
      </c>
      <c r="AR161" s="23"/>
      <c r="AS161" s="23"/>
      <c r="AT161" s="29"/>
      <c r="AU161" s="29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</row>
    <row r="162" spans="1:182" s="9" customFormat="1" x14ac:dyDescent="0.2">
      <c r="A162" s="2" t="s">
        <v>31</v>
      </c>
      <c r="B162" s="1" t="s">
        <v>1332</v>
      </c>
      <c r="C162" s="1" t="s">
        <v>27</v>
      </c>
      <c r="D162" s="1" t="s">
        <v>28</v>
      </c>
      <c r="E162" s="8">
        <v>43370</v>
      </c>
      <c r="F162" s="9" t="s">
        <v>29</v>
      </c>
      <c r="G162" s="2" t="s">
        <v>1333</v>
      </c>
      <c r="H162" s="2" t="s">
        <v>1332</v>
      </c>
      <c r="I162" s="2" t="s">
        <v>1334</v>
      </c>
      <c r="J162" s="2" t="s">
        <v>33</v>
      </c>
      <c r="K162" s="2">
        <v>153.6</v>
      </c>
      <c r="L162" s="16">
        <v>6144</v>
      </c>
      <c r="M162" s="2" t="s">
        <v>1335</v>
      </c>
      <c r="N162" s="2" t="s">
        <v>35</v>
      </c>
      <c r="O162" s="2">
        <v>37.04</v>
      </c>
      <c r="P162" s="9">
        <f t="shared" si="5"/>
        <v>1296.3999999999999</v>
      </c>
      <c r="Q162" s="2" t="s">
        <v>1336</v>
      </c>
      <c r="R162" s="2" t="s">
        <v>37</v>
      </c>
      <c r="S162" s="9" t="s">
        <v>1337</v>
      </c>
      <c r="T162" s="9" t="s">
        <v>1112</v>
      </c>
      <c r="U162" s="9" t="s">
        <v>87</v>
      </c>
      <c r="V162" s="9">
        <v>4</v>
      </c>
      <c r="W162" s="9">
        <v>20.3</v>
      </c>
      <c r="X162" s="9">
        <v>0.26</v>
      </c>
      <c r="Y162" s="2" t="s">
        <v>1338</v>
      </c>
      <c r="Z162" s="19" t="s">
        <v>1114</v>
      </c>
      <c r="AA162" s="20" t="s">
        <v>1339</v>
      </c>
      <c r="AB162" s="20" t="s">
        <v>265</v>
      </c>
      <c r="AC162" s="20" t="s">
        <v>266</v>
      </c>
      <c r="AD162" s="20" t="s">
        <v>646</v>
      </c>
      <c r="AE162" s="20" t="s">
        <v>647</v>
      </c>
      <c r="AG162" s="23">
        <v>388</v>
      </c>
      <c r="AH162" s="23" t="s">
        <v>1338</v>
      </c>
      <c r="AI162" s="23" t="s">
        <v>1642</v>
      </c>
      <c r="AJ162" s="23" t="s">
        <v>266</v>
      </c>
      <c r="AK162" s="23" t="s">
        <v>647</v>
      </c>
      <c r="AL162" s="23">
        <v>0.48220000000000002</v>
      </c>
      <c r="AM162" s="24">
        <f t="shared" si="4"/>
        <v>7046303.7327999994</v>
      </c>
      <c r="AN162" s="23"/>
      <c r="AO162" s="25">
        <v>1461282400</v>
      </c>
      <c r="AP162" s="23"/>
      <c r="AQ162" s="1" t="s">
        <v>27</v>
      </c>
      <c r="AR162" s="23"/>
      <c r="AS162" s="23"/>
      <c r="AT162" s="29"/>
      <c r="AU162" s="29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</row>
    <row r="163" spans="1:182" s="9" customFormat="1" x14ac:dyDescent="0.2">
      <c r="A163" s="2" t="s">
        <v>31</v>
      </c>
      <c r="B163" s="1" t="s">
        <v>1340</v>
      </c>
      <c r="C163" s="1" t="s">
        <v>27</v>
      </c>
      <c r="D163" s="1" t="s">
        <v>28</v>
      </c>
      <c r="E163" s="8">
        <v>43370</v>
      </c>
      <c r="F163" s="9" t="s">
        <v>29</v>
      </c>
      <c r="G163" s="2" t="s">
        <v>1341</v>
      </c>
      <c r="H163" s="2" t="s">
        <v>1340</v>
      </c>
      <c r="I163" s="2" t="s">
        <v>1342</v>
      </c>
      <c r="J163" s="2" t="s">
        <v>33</v>
      </c>
      <c r="K163" s="2">
        <v>231.52</v>
      </c>
      <c r="L163" s="16">
        <v>9260.8000000000011</v>
      </c>
      <c r="M163" s="2" t="s">
        <v>1343</v>
      </c>
      <c r="N163" s="2" t="s">
        <v>35</v>
      </c>
      <c r="O163" s="2">
        <v>42.8</v>
      </c>
      <c r="P163" s="9">
        <f t="shared" si="5"/>
        <v>1498</v>
      </c>
      <c r="Q163" s="2" t="s">
        <v>1344</v>
      </c>
      <c r="R163" s="2" t="s">
        <v>37</v>
      </c>
      <c r="S163" s="9" t="s">
        <v>1345</v>
      </c>
      <c r="T163" s="9" t="s">
        <v>1112</v>
      </c>
      <c r="U163" s="9" t="s">
        <v>98</v>
      </c>
      <c r="V163" s="9">
        <v>4</v>
      </c>
      <c r="Y163" s="2" t="s">
        <v>1346</v>
      </c>
      <c r="Z163" s="19" t="s">
        <v>1114</v>
      </c>
      <c r="AA163" s="20" t="s">
        <v>1347</v>
      </c>
      <c r="AB163" s="20" t="s">
        <v>265</v>
      </c>
      <c r="AC163" s="20" t="s">
        <v>266</v>
      </c>
      <c r="AD163" s="20" t="s">
        <v>655</v>
      </c>
      <c r="AE163" s="20" t="s">
        <v>656</v>
      </c>
      <c r="AG163" s="23">
        <v>389</v>
      </c>
      <c r="AH163" s="23" t="s">
        <v>1346</v>
      </c>
      <c r="AI163" s="23" t="s">
        <v>1642</v>
      </c>
      <c r="AJ163" s="23" t="s">
        <v>266</v>
      </c>
      <c r="AK163" s="23" t="s">
        <v>656</v>
      </c>
      <c r="AL163" s="23">
        <v>0.51890000000000003</v>
      </c>
      <c r="AM163" s="24">
        <f t="shared" si="4"/>
        <v>7582594.3736000005</v>
      </c>
      <c r="AN163" s="23"/>
      <c r="AO163" s="25">
        <v>1461282400</v>
      </c>
      <c r="AP163" s="23"/>
      <c r="AQ163" s="1" t="s">
        <v>27</v>
      </c>
      <c r="AR163" s="23"/>
      <c r="AS163" s="23"/>
      <c r="AT163" s="29"/>
      <c r="AU163" s="29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</row>
    <row r="164" spans="1:182" s="9" customFormat="1" x14ac:dyDescent="0.2">
      <c r="A164" s="2" t="s">
        <v>31</v>
      </c>
      <c r="B164" s="1" t="s">
        <v>1348</v>
      </c>
      <c r="C164" s="1" t="s">
        <v>27</v>
      </c>
      <c r="D164" s="1" t="s">
        <v>28</v>
      </c>
      <c r="E164" s="8">
        <v>43370</v>
      </c>
      <c r="F164" s="9" t="s">
        <v>29</v>
      </c>
      <c r="G164" s="2" t="s">
        <v>1349</v>
      </c>
      <c r="H164" s="2" t="s">
        <v>1348</v>
      </c>
      <c r="I164" s="2" t="s">
        <v>1350</v>
      </c>
      <c r="J164" s="2" t="s">
        <v>33</v>
      </c>
      <c r="K164" s="2">
        <v>314.16000000000003</v>
      </c>
      <c r="L164" s="16">
        <v>12566.400000000001</v>
      </c>
      <c r="M164" s="2" t="s">
        <v>1351</v>
      </c>
      <c r="N164" s="2" t="s">
        <v>35</v>
      </c>
      <c r="O164" s="2">
        <v>44.48</v>
      </c>
      <c r="P164" s="9">
        <f t="shared" si="5"/>
        <v>1556.8</v>
      </c>
      <c r="Q164" s="2" t="s">
        <v>1352</v>
      </c>
      <c r="R164" s="2" t="s">
        <v>37</v>
      </c>
      <c r="S164" s="9" t="s">
        <v>1353</v>
      </c>
      <c r="T164" s="9" t="s">
        <v>1112</v>
      </c>
      <c r="U164" s="9" t="s">
        <v>109</v>
      </c>
      <c r="V164" s="9">
        <v>4</v>
      </c>
      <c r="Y164" s="2" t="s">
        <v>1354</v>
      </c>
      <c r="Z164" s="19" t="s">
        <v>1114</v>
      </c>
      <c r="AA164" s="20" t="s">
        <v>1355</v>
      </c>
      <c r="AB164" s="20" t="s">
        <v>265</v>
      </c>
      <c r="AC164" s="20" t="s">
        <v>266</v>
      </c>
      <c r="AD164" s="20" t="s">
        <v>664</v>
      </c>
      <c r="AE164" s="20" t="s">
        <v>665</v>
      </c>
      <c r="AG164" s="23">
        <v>390</v>
      </c>
      <c r="AH164" s="23" t="s">
        <v>1354</v>
      </c>
      <c r="AI164" s="23" t="s">
        <v>1642</v>
      </c>
      <c r="AJ164" s="23" t="s">
        <v>266</v>
      </c>
      <c r="AK164" s="23" t="s">
        <v>665</v>
      </c>
      <c r="AL164" s="23">
        <v>0.47860000000000003</v>
      </c>
      <c r="AM164" s="24">
        <f t="shared" si="4"/>
        <v>6993697.5663999999</v>
      </c>
      <c r="AN164" s="23"/>
      <c r="AO164" s="25">
        <v>1461282400</v>
      </c>
      <c r="AP164" s="23"/>
      <c r="AQ164" s="1" t="s">
        <v>27</v>
      </c>
      <c r="AR164" s="23"/>
      <c r="AS164" s="23"/>
      <c r="AT164" s="29"/>
      <c r="AU164" s="29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</row>
    <row r="165" spans="1:182" s="9" customFormat="1" x14ac:dyDescent="0.2">
      <c r="A165" s="2" t="s">
        <v>31</v>
      </c>
      <c r="B165" s="1" t="s">
        <v>1356</v>
      </c>
      <c r="C165" s="1" t="s">
        <v>27</v>
      </c>
      <c r="D165" s="1" t="s">
        <v>28</v>
      </c>
      <c r="E165" s="8">
        <v>43370</v>
      </c>
      <c r="F165" s="9" t="s">
        <v>29</v>
      </c>
      <c r="G165" s="2" t="s">
        <v>1357</v>
      </c>
      <c r="H165" s="2" t="s">
        <v>1356</v>
      </c>
      <c r="I165" s="2" t="s">
        <v>1358</v>
      </c>
      <c r="J165" s="2" t="s">
        <v>33</v>
      </c>
      <c r="K165" s="2">
        <v>188.72</v>
      </c>
      <c r="L165" s="16">
        <v>7548.8</v>
      </c>
      <c r="M165" s="2" t="s">
        <v>1359</v>
      </c>
      <c r="N165" s="2" t="s">
        <v>35</v>
      </c>
      <c r="O165" s="2">
        <v>40.880000000000003</v>
      </c>
      <c r="P165" s="9">
        <f t="shared" si="5"/>
        <v>1430.8000000000002</v>
      </c>
      <c r="Q165" s="2" t="s">
        <v>1360</v>
      </c>
      <c r="R165" s="2" t="s">
        <v>37</v>
      </c>
      <c r="S165" s="9" t="s">
        <v>1361</v>
      </c>
      <c r="T165" s="9" t="s">
        <v>1112</v>
      </c>
      <c r="U165" s="9" t="s">
        <v>120</v>
      </c>
      <c r="V165" s="9">
        <v>4</v>
      </c>
      <c r="Y165" s="2" t="s">
        <v>1362</v>
      </c>
      <c r="Z165" s="19" t="s">
        <v>1114</v>
      </c>
      <c r="AA165" s="20" t="s">
        <v>1363</v>
      </c>
      <c r="AB165" s="20" t="s">
        <v>265</v>
      </c>
      <c r="AC165" s="20" t="s">
        <v>266</v>
      </c>
      <c r="AD165" s="20" t="s">
        <v>673</v>
      </c>
      <c r="AE165" s="20" t="s">
        <v>674</v>
      </c>
      <c r="AG165" s="23">
        <v>391</v>
      </c>
      <c r="AH165" s="23" t="s">
        <v>1362</v>
      </c>
      <c r="AI165" s="23" t="s">
        <v>1642</v>
      </c>
      <c r="AJ165" s="23" t="s">
        <v>266</v>
      </c>
      <c r="AK165" s="23" t="s">
        <v>674</v>
      </c>
      <c r="AL165" s="23">
        <v>0.59279999999999999</v>
      </c>
      <c r="AM165" s="24">
        <f t="shared" si="4"/>
        <v>8662482.0671999995</v>
      </c>
      <c r="AN165" s="23"/>
      <c r="AO165" s="25">
        <v>1461282400</v>
      </c>
      <c r="AP165" s="23"/>
      <c r="AQ165" s="1" t="s">
        <v>27</v>
      </c>
      <c r="AR165" s="23"/>
      <c r="AS165" s="23"/>
      <c r="AT165" s="29"/>
      <c r="AU165" s="29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</row>
    <row r="166" spans="1:182" ht="16" x14ac:dyDescent="0.2">
      <c r="A166" s="2" t="s">
        <v>31</v>
      </c>
      <c r="B166" s="1" t="s">
        <v>1364</v>
      </c>
      <c r="C166" s="13" t="s">
        <v>350</v>
      </c>
      <c r="D166" s="1" t="s">
        <v>28</v>
      </c>
      <c r="E166" s="14">
        <v>43370</v>
      </c>
      <c r="F166" s="2" t="s">
        <v>29</v>
      </c>
      <c r="G166" s="2" t="s">
        <v>1365</v>
      </c>
      <c r="H166" s="2" t="s">
        <v>1364</v>
      </c>
      <c r="I166" s="2" t="s">
        <v>1366</v>
      </c>
      <c r="J166" s="2" t="s">
        <v>353</v>
      </c>
      <c r="K166" s="2">
        <v>585.04</v>
      </c>
      <c r="L166" s="2">
        <v>11700.8</v>
      </c>
      <c r="M166" s="2" t="s">
        <v>1367</v>
      </c>
      <c r="N166" s="2" t="s">
        <v>35</v>
      </c>
      <c r="O166" s="2">
        <v>47.76</v>
      </c>
      <c r="P166" s="9">
        <f t="shared" si="5"/>
        <v>1671.6</v>
      </c>
      <c r="Q166" s="2" t="s">
        <v>1368</v>
      </c>
      <c r="R166" s="2" t="s">
        <v>37</v>
      </c>
      <c r="S166" s="9" t="s">
        <v>1369</v>
      </c>
      <c r="T166" s="9" t="s">
        <v>1112</v>
      </c>
      <c r="U166" s="9" t="s">
        <v>40</v>
      </c>
      <c r="V166" s="9">
        <v>5</v>
      </c>
      <c r="Y166" s="2" t="s">
        <v>1370</v>
      </c>
      <c r="Z166" s="19" t="s">
        <v>1114</v>
      </c>
      <c r="AA166" s="20" t="s">
        <v>1371</v>
      </c>
      <c r="AB166" s="20" t="s">
        <v>331</v>
      </c>
      <c r="AC166" s="20" t="s">
        <v>332</v>
      </c>
      <c r="AD166" s="20" t="s">
        <v>610</v>
      </c>
      <c r="AE166" s="20" t="s">
        <v>611</v>
      </c>
      <c r="AG166" s="23">
        <v>392</v>
      </c>
      <c r="AH166" s="23" t="s">
        <v>1370</v>
      </c>
      <c r="AI166" s="23" t="s">
        <v>1642</v>
      </c>
      <c r="AJ166" s="23" t="s">
        <v>332</v>
      </c>
      <c r="AK166" s="23" t="s">
        <v>611</v>
      </c>
      <c r="AL166" s="23">
        <v>0.57279999999999998</v>
      </c>
      <c r="AM166" s="24">
        <f t="shared" si="4"/>
        <v>8370225.587199999</v>
      </c>
      <c r="AN166" s="23"/>
      <c r="AO166" s="25">
        <v>1461282400</v>
      </c>
      <c r="AP166" s="23"/>
      <c r="AQ166" s="13" t="s">
        <v>350</v>
      </c>
      <c r="AR166" s="23"/>
      <c r="AS166" s="23"/>
    </row>
    <row r="167" spans="1:182" ht="16" x14ac:dyDescent="0.2">
      <c r="A167" s="2" t="s">
        <v>31</v>
      </c>
      <c r="B167" s="1" t="s">
        <v>1372</v>
      </c>
      <c r="C167" s="13" t="s">
        <v>350</v>
      </c>
      <c r="D167" s="1" t="s">
        <v>28</v>
      </c>
      <c r="E167" s="14">
        <v>43370</v>
      </c>
      <c r="F167" s="2" t="s">
        <v>29</v>
      </c>
      <c r="G167" s="2" t="s">
        <v>1373</v>
      </c>
      <c r="H167" s="2" t="s">
        <v>1372</v>
      </c>
      <c r="I167" s="2" t="s">
        <v>1374</v>
      </c>
      <c r="J167" s="2" t="s">
        <v>353</v>
      </c>
      <c r="K167" s="2">
        <v>470.56</v>
      </c>
      <c r="L167" s="2">
        <v>9411.2000000000007</v>
      </c>
      <c r="M167" s="2" t="s">
        <v>1375</v>
      </c>
      <c r="N167" s="2" t="s">
        <v>35</v>
      </c>
      <c r="O167" s="2">
        <v>43.52</v>
      </c>
      <c r="P167" s="9">
        <f t="shared" si="5"/>
        <v>1523.2</v>
      </c>
      <c r="Q167" s="2" t="s">
        <v>1376</v>
      </c>
      <c r="R167" s="2" t="s">
        <v>37</v>
      </c>
      <c r="S167" s="9" t="s">
        <v>1377</v>
      </c>
      <c r="T167" s="9" t="s">
        <v>1112</v>
      </c>
      <c r="U167" s="9" t="s">
        <v>54</v>
      </c>
      <c r="V167" s="9">
        <v>5</v>
      </c>
      <c r="Y167" s="2" t="s">
        <v>1378</v>
      </c>
      <c r="Z167" s="19" t="s">
        <v>1114</v>
      </c>
      <c r="AA167" s="20" t="s">
        <v>1379</v>
      </c>
      <c r="AB167" s="20" t="s">
        <v>331</v>
      </c>
      <c r="AC167" s="20" t="s">
        <v>332</v>
      </c>
      <c r="AD167" s="20" t="s">
        <v>619</v>
      </c>
      <c r="AE167" s="20" t="s">
        <v>620</v>
      </c>
      <c r="AG167" s="23">
        <v>393</v>
      </c>
      <c r="AH167" s="23" t="s">
        <v>1378</v>
      </c>
      <c r="AI167" s="23" t="s">
        <v>1642</v>
      </c>
      <c r="AJ167" s="23" t="s">
        <v>332</v>
      </c>
      <c r="AK167" s="23" t="s">
        <v>620</v>
      </c>
      <c r="AL167" s="23">
        <v>0.62139999999999995</v>
      </c>
      <c r="AM167" s="24">
        <f t="shared" si="4"/>
        <v>9080408.8335999995</v>
      </c>
      <c r="AN167" s="23"/>
      <c r="AO167" s="25">
        <v>1461282400</v>
      </c>
      <c r="AP167" s="23"/>
      <c r="AQ167" s="13" t="s">
        <v>350</v>
      </c>
      <c r="AR167" s="23"/>
      <c r="AS167" s="23"/>
    </row>
    <row r="168" spans="1:182" ht="16" x14ac:dyDescent="0.2">
      <c r="A168" s="2" t="s">
        <v>31</v>
      </c>
      <c r="B168" s="1" t="s">
        <v>1380</v>
      </c>
      <c r="C168" s="13" t="s">
        <v>350</v>
      </c>
      <c r="D168" s="1" t="s">
        <v>28</v>
      </c>
      <c r="E168" s="14">
        <v>43370</v>
      </c>
      <c r="F168" s="2" t="s">
        <v>29</v>
      </c>
      <c r="G168" s="2" t="s">
        <v>1381</v>
      </c>
      <c r="H168" s="2" t="s">
        <v>1380</v>
      </c>
      <c r="I168" s="2" t="s">
        <v>1382</v>
      </c>
      <c r="J168" s="2" t="s">
        <v>353</v>
      </c>
      <c r="K168" s="2">
        <v>443.52</v>
      </c>
      <c r="L168" s="2">
        <v>8870.4</v>
      </c>
      <c r="M168" s="2" t="s">
        <v>1383</v>
      </c>
      <c r="N168" s="2" t="s">
        <v>35</v>
      </c>
      <c r="O168" s="2">
        <v>40.880000000000003</v>
      </c>
      <c r="P168" s="9">
        <f t="shared" si="5"/>
        <v>1430.8000000000002</v>
      </c>
      <c r="Q168" s="2" t="s">
        <v>1384</v>
      </c>
      <c r="R168" s="2" t="s">
        <v>37</v>
      </c>
      <c r="S168" s="9" t="s">
        <v>1385</v>
      </c>
      <c r="T168" s="9" t="s">
        <v>1112</v>
      </c>
      <c r="U168" s="9" t="s">
        <v>65</v>
      </c>
      <c r="V168" s="9">
        <v>5</v>
      </c>
      <c r="Y168" s="2" t="s">
        <v>1386</v>
      </c>
      <c r="Z168" s="19" t="s">
        <v>1114</v>
      </c>
      <c r="AA168" s="20" t="s">
        <v>1387</v>
      </c>
      <c r="AB168" s="20" t="s">
        <v>331</v>
      </c>
      <c r="AC168" s="20" t="s">
        <v>332</v>
      </c>
      <c r="AD168" s="20" t="s">
        <v>628</v>
      </c>
      <c r="AE168" s="20" t="s">
        <v>629</v>
      </c>
      <c r="AG168" s="23">
        <v>394</v>
      </c>
      <c r="AH168" s="23" t="s">
        <v>1386</v>
      </c>
      <c r="AI168" s="23" t="s">
        <v>1642</v>
      </c>
      <c r="AJ168" s="23" t="s">
        <v>332</v>
      </c>
      <c r="AK168" s="23" t="s">
        <v>629</v>
      </c>
      <c r="AL168" s="23">
        <v>0.55110000000000003</v>
      </c>
      <c r="AM168" s="24">
        <f t="shared" si="4"/>
        <v>8053127.306400001</v>
      </c>
      <c r="AN168" s="23"/>
      <c r="AO168" s="25">
        <v>1461282400</v>
      </c>
      <c r="AP168" s="23"/>
      <c r="AQ168" s="13" t="s">
        <v>350</v>
      </c>
      <c r="AR168" s="23"/>
      <c r="AS168" s="23"/>
    </row>
    <row r="169" spans="1:182" ht="16" x14ac:dyDescent="0.2">
      <c r="A169" s="2" t="s">
        <v>31</v>
      </c>
      <c r="B169" s="1" t="s">
        <v>1388</v>
      </c>
      <c r="C169" s="13" t="s">
        <v>350</v>
      </c>
      <c r="D169" s="1" t="s">
        <v>28</v>
      </c>
      <c r="E169" s="14">
        <v>43370</v>
      </c>
      <c r="F169" s="2" t="s">
        <v>29</v>
      </c>
      <c r="G169" s="2" t="s">
        <v>1389</v>
      </c>
      <c r="H169" s="2" t="s">
        <v>1388</v>
      </c>
      <c r="I169" s="2" t="s">
        <v>1390</v>
      </c>
      <c r="J169" s="2" t="s">
        <v>353</v>
      </c>
      <c r="K169" s="2">
        <v>302.88</v>
      </c>
      <c r="L169" s="2">
        <v>6057.6</v>
      </c>
      <c r="M169" s="2" t="s">
        <v>1391</v>
      </c>
      <c r="N169" s="2" t="s">
        <v>35</v>
      </c>
      <c r="O169" s="2">
        <v>39.44</v>
      </c>
      <c r="P169" s="9">
        <f t="shared" si="5"/>
        <v>1380.3999999999999</v>
      </c>
      <c r="Q169" s="2" t="s">
        <v>1392</v>
      </c>
      <c r="R169" s="2" t="s">
        <v>37</v>
      </c>
      <c r="S169" s="9" t="s">
        <v>1393</v>
      </c>
      <c r="T169" s="9" t="s">
        <v>1112</v>
      </c>
      <c r="U169" s="9" t="s">
        <v>76</v>
      </c>
      <c r="V169" s="9">
        <v>5</v>
      </c>
      <c r="Y169" s="2" t="s">
        <v>1394</v>
      </c>
      <c r="Z169" s="19" t="s">
        <v>1114</v>
      </c>
      <c r="AA169" s="20" t="s">
        <v>1395</v>
      </c>
      <c r="AB169" s="20" t="s">
        <v>331</v>
      </c>
      <c r="AC169" s="20" t="s">
        <v>332</v>
      </c>
      <c r="AD169" s="20" t="s">
        <v>637</v>
      </c>
      <c r="AE169" s="20" t="s">
        <v>638</v>
      </c>
      <c r="AG169" s="23">
        <v>395</v>
      </c>
      <c r="AH169" s="23" t="s">
        <v>1394</v>
      </c>
      <c r="AI169" s="23" t="s">
        <v>1642</v>
      </c>
      <c r="AJ169" s="23" t="s">
        <v>332</v>
      </c>
      <c r="AK169" s="23" t="s">
        <v>638</v>
      </c>
      <c r="AL169" s="23">
        <v>0.4541</v>
      </c>
      <c r="AM169" s="24">
        <f t="shared" si="4"/>
        <v>6635683.3784000007</v>
      </c>
      <c r="AN169" s="23"/>
      <c r="AO169" s="25">
        <v>1461282400</v>
      </c>
      <c r="AP169" s="23"/>
      <c r="AQ169" s="13" t="s">
        <v>350</v>
      </c>
      <c r="AR169" s="23"/>
      <c r="AS169" s="23"/>
    </row>
    <row r="170" spans="1:182" ht="16" x14ac:dyDescent="0.2">
      <c r="A170" s="2" t="s">
        <v>31</v>
      </c>
      <c r="B170" s="1" t="s">
        <v>1396</v>
      </c>
      <c r="C170" s="13" t="s">
        <v>350</v>
      </c>
      <c r="D170" s="1" t="s">
        <v>28</v>
      </c>
      <c r="E170" s="14">
        <v>43370</v>
      </c>
      <c r="F170" s="2" t="s">
        <v>29</v>
      </c>
      <c r="G170" s="2" t="s">
        <v>1397</v>
      </c>
      <c r="H170" s="2" t="s">
        <v>1396</v>
      </c>
      <c r="I170" s="2" t="s">
        <v>1398</v>
      </c>
      <c r="J170" s="2" t="s">
        <v>353</v>
      </c>
      <c r="K170" s="2">
        <v>476.8</v>
      </c>
      <c r="L170" s="2">
        <v>9536</v>
      </c>
      <c r="M170" s="2" t="s">
        <v>1399</v>
      </c>
      <c r="N170" s="2" t="s">
        <v>35</v>
      </c>
      <c r="O170" s="2">
        <v>37.68</v>
      </c>
      <c r="P170" s="9">
        <f t="shared" si="5"/>
        <v>1318.8</v>
      </c>
      <c r="Q170" s="2" t="s">
        <v>1400</v>
      </c>
      <c r="R170" s="2" t="s">
        <v>37</v>
      </c>
      <c r="S170" s="9" t="s">
        <v>1401</v>
      </c>
      <c r="T170" s="9" t="s">
        <v>1112</v>
      </c>
      <c r="U170" s="9" t="s">
        <v>87</v>
      </c>
      <c r="V170" s="9">
        <v>5</v>
      </c>
      <c r="Y170" s="2" t="s">
        <v>1402</v>
      </c>
      <c r="Z170" s="19" t="s">
        <v>1114</v>
      </c>
      <c r="AA170" s="20" t="s">
        <v>1403</v>
      </c>
      <c r="AB170" s="20" t="s">
        <v>331</v>
      </c>
      <c r="AC170" s="20" t="s">
        <v>332</v>
      </c>
      <c r="AD170" s="20" t="s">
        <v>646</v>
      </c>
      <c r="AE170" s="20" t="s">
        <v>647</v>
      </c>
      <c r="AG170" s="23">
        <v>396</v>
      </c>
      <c r="AH170" s="23" t="s">
        <v>1402</v>
      </c>
      <c r="AI170" s="23" t="s">
        <v>1642</v>
      </c>
      <c r="AJ170" s="23" t="s">
        <v>332</v>
      </c>
      <c r="AK170" s="23" t="s">
        <v>647</v>
      </c>
      <c r="AL170" s="23">
        <v>0.50260000000000005</v>
      </c>
      <c r="AM170" s="24">
        <f t="shared" si="4"/>
        <v>7344405.3424000004</v>
      </c>
      <c r="AN170" s="23"/>
      <c r="AO170" s="25">
        <v>1461282400</v>
      </c>
      <c r="AP170" s="23"/>
      <c r="AQ170" s="13" t="s">
        <v>350</v>
      </c>
      <c r="AR170" s="23"/>
      <c r="AS170" s="23"/>
    </row>
    <row r="171" spans="1:182" ht="16" x14ac:dyDescent="0.2">
      <c r="A171" s="2" t="s">
        <v>31</v>
      </c>
      <c r="B171" s="1" t="s">
        <v>1404</v>
      </c>
      <c r="C171" s="13" t="s">
        <v>350</v>
      </c>
      <c r="D171" s="1" t="s">
        <v>28</v>
      </c>
      <c r="E171" s="14">
        <v>43370</v>
      </c>
      <c r="F171" s="2" t="s">
        <v>29</v>
      </c>
      <c r="G171" s="2" t="s">
        <v>1405</v>
      </c>
      <c r="H171" s="2" t="s">
        <v>1404</v>
      </c>
      <c r="I171" s="2" t="s">
        <v>1406</v>
      </c>
      <c r="J171" s="2" t="s">
        <v>353</v>
      </c>
      <c r="K171" s="2">
        <v>274.39999999999998</v>
      </c>
      <c r="L171" s="2">
        <v>5488</v>
      </c>
      <c r="M171" s="2" t="s">
        <v>1407</v>
      </c>
      <c r="N171" s="2" t="s">
        <v>35</v>
      </c>
      <c r="O171" s="2">
        <v>36.72</v>
      </c>
      <c r="P171" s="9">
        <f t="shared" si="5"/>
        <v>1285.2</v>
      </c>
      <c r="Q171" s="2" t="s">
        <v>1408</v>
      </c>
      <c r="R171" s="2" t="s">
        <v>37</v>
      </c>
      <c r="S171" s="9" t="s">
        <v>1409</v>
      </c>
      <c r="T171" s="9" t="s">
        <v>1112</v>
      </c>
      <c r="U171" s="9" t="s">
        <v>98</v>
      </c>
      <c r="V171" s="9">
        <v>5</v>
      </c>
      <c r="Y171" s="2" t="s">
        <v>1410</v>
      </c>
      <c r="Z171" s="19" t="s">
        <v>1114</v>
      </c>
      <c r="AA171" s="20" t="s">
        <v>1411</v>
      </c>
      <c r="AB171" s="20" t="s">
        <v>331</v>
      </c>
      <c r="AC171" s="20" t="s">
        <v>332</v>
      </c>
      <c r="AD171" s="20" t="s">
        <v>655</v>
      </c>
      <c r="AE171" s="20" t="s">
        <v>656</v>
      </c>
      <c r="AG171" s="23">
        <v>397</v>
      </c>
      <c r="AH171" s="23" t="s">
        <v>1410</v>
      </c>
      <c r="AI171" s="23" t="s">
        <v>1642</v>
      </c>
      <c r="AJ171" s="23" t="s">
        <v>332</v>
      </c>
      <c r="AK171" s="23" t="s">
        <v>656</v>
      </c>
      <c r="AL171" s="23">
        <v>0.53420000000000001</v>
      </c>
      <c r="AM171" s="24">
        <f t="shared" si="4"/>
        <v>7806170.5808000006</v>
      </c>
      <c r="AN171" s="23"/>
      <c r="AO171" s="25">
        <v>1461282400</v>
      </c>
      <c r="AP171" s="23"/>
      <c r="AQ171" s="13" t="s">
        <v>350</v>
      </c>
      <c r="AR171" s="23"/>
      <c r="AS171" s="23"/>
    </row>
    <row r="172" spans="1:182" ht="16" x14ac:dyDescent="0.2">
      <c r="A172" s="2" t="s">
        <v>31</v>
      </c>
      <c r="B172" s="1" t="s">
        <v>1412</v>
      </c>
      <c r="C172" s="13" t="s">
        <v>350</v>
      </c>
      <c r="D172" s="1" t="s">
        <v>28</v>
      </c>
      <c r="E172" s="14">
        <v>43370</v>
      </c>
      <c r="F172" s="2" t="s">
        <v>29</v>
      </c>
      <c r="G172" s="2" t="s">
        <v>1413</v>
      </c>
      <c r="H172" s="2" t="s">
        <v>1412</v>
      </c>
      <c r="I172" s="2" t="s">
        <v>1414</v>
      </c>
      <c r="J172" s="2" t="s">
        <v>353</v>
      </c>
      <c r="K172" s="2">
        <v>181.52</v>
      </c>
      <c r="L172" s="2">
        <v>3630.4</v>
      </c>
      <c r="M172" s="2" t="s">
        <v>1415</v>
      </c>
      <c r="N172" s="2" t="s">
        <v>35</v>
      </c>
      <c r="O172" s="2">
        <v>32.64</v>
      </c>
      <c r="P172" s="9">
        <f t="shared" si="5"/>
        <v>1142.4000000000001</v>
      </c>
      <c r="Q172" s="2" t="s">
        <v>1416</v>
      </c>
      <c r="R172" s="2" t="s">
        <v>37</v>
      </c>
      <c r="S172" s="9" t="s">
        <v>1417</v>
      </c>
      <c r="T172" s="9" t="s">
        <v>1112</v>
      </c>
      <c r="U172" s="9" t="s">
        <v>109</v>
      </c>
      <c r="V172" s="9">
        <v>5</v>
      </c>
      <c r="Y172" s="2" t="s">
        <v>1418</v>
      </c>
      <c r="Z172" s="19" t="s">
        <v>1114</v>
      </c>
      <c r="AA172" s="20" t="s">
        <v>1419</v>
      </c>
      <c r="AB172" s="20" t="s">
        <v>331</v>
      </c>
      <c r="AC172" s="20" t="s">
        <v>332</v>
      </c>
      <c r="AD172" s="20" t="s">
        <v>664</v>
      </c>
      <c r="AE172" s="20" t="s">
        <v>665</v>
      </c>
      <c r="AG172" s="23">
        <v>398</v>
      </c>
      <c r="AH172" s="23" t="s">
        <v>1418</v>
      </c>
      <c r="AI172" s="23" t="s">
        <v>1642</v>
      </c>
      <c r="AJ172" s="23" t="s">
        <v>332</v>
      </c>
      <c r="AK172" s="23" t="s">
        <v>665</v>
      </c>
      <c r="AL172" s="23">
        <v>0.39179999999999998</v>
      </c>
      <c r="AM172" s="24">
        <f t="shared" si="4"/>
        <v>5725304.4431999996</v>
      </c>
      <c r="AN172" s="23"/>
      <c r="AO172" s="25">
        <v>1461282400</v>
      </c>
      <c r="AP172" s="23"/>
      <c r="AQ172" s="13" t="s">
        <v>350</v>
      </c>
      <c r="AR172" s="23"/>
      <c r="AS172" s="23"/>
    </row>
    <row r="173" spans="1:182" ht="16" x14ac:dyDescent="0.2">
      <c r="A173" s="2" t="s">
        <v>31</v>
      </c>
      <c r="B173" s="1" t="s">
        <v>1420</v>
      </c>
      <c r="C173" s="13" t="s">
        <v>350</v>
      </c>
      <c r="D173" s="1" t="s">
        <v>28</v>
      </c>
      <c r="E173" s="14">
        <v>43370</v>
      </c>
      <c r="F173" s="2" t="s">
        <v>29</v>
      </c>
      <c r="G173" s="2" t="s">
        <v>1421</v>
      </c>
      <c r="H173" s="2" t="s">
        <v>1420</v>
      </c>
      <c r="I173" s="2" t="s">
        <v>1422</v>
      </c>
      <c r="J173" s="2" t="s">
        <v>353</v>
      </c>
      <c r="K173" s="2">
        <v>531.04</v>
      </c>
      <c r="L173" s="2">
        <v>10620.8</v>
      </c>
      <c r="M173" s="2" t="s">
        <v>1423</v>
      </c>
      <c r="N173" s="2" t="s">
        <v>35</v>
      </c>
      <c r="O173" s="2">
        <v>42.32</v>
      </c>
      <c r="P173" s="9">
        <f t="shared" si="5"/>
        <v>1481.2</v>
      </c>
      <c r="Q173" s="2" t="s">
        <v>1424</v>
      </c>
      <c r="R173" s="2" t="s">
        <v>37</v>
      </c>
      <c r="S173" s="9" t="s">
        <v>1425</v>
      </c>
      <c r="T173" s="9" t="s">
        <v>1112</v>
      </c>
      <c r="U173" s="9" t="s">
        <v>120</v>
      </c>
      <c r="V173" s="9">
        <v>5</v>
      </c>
      <c r="Y173" s="2" t="s">
        <v>1426</v>
      </c>
      <c r="Z173" s="19" t="s">
        <v>1114</v>
      </c>
      <c r="AA173" s="20" t="s">
        <v>1427</v>
      </c>
      <c r="AB173" s="20" t="s">
        <v>331</v>
      </c>
      <c r="AC173" s="20" t="s">
        <v>332</v>
      </c>
      <c r="AD173" s="20" t="s">
        <v>673</v>
      </c>
      <c r="AE173" s="20" t="s">
        <v>674</v>
      </c>
      <c r="AG173" s="23">
        <v>399</v>
      </c>
      <c r="AH173" s="23" t="s">
        <v>1426</v>
      </c>
      <c r="AI173" s="23" t="s">
        <v>1642</v>
      </c>
      <c r="AJ173" s="23" t="s">
        <v>332</v>
      </c>
      <c r="AK173" s="23" t="s">
        <v>674</v>
      </c>
      <c r="AL173" s="23">
        <v>0.58420000000000005</v>
      </c>
      <c r="AM173" s="24">
        <f t="shared" si="4"/>
        <v>8536811.7807999998</v>
      </c>
      <c r="AN173" s="23"/>
      <c r="AO173" s="25">
        <v>1461282400</v>
      </c>
      <c r="AP173" s="23"/>
      <c r="AQ173" s="13" t="s">
        <v>350</v>
      </c>
      <c r="AR173" s="23"/>
      <c r="AS173" s="23"/>
    </row>
    <row r="174" spans="1:182" ht="16" x14ac:dyDescent="0.2">
      <c r="A174" s="2" t="s">
        <v>31</v>
      </c>
      <c r="B174" s="1" t="s">
        <v>1428</v>
      </c>
      <c r="C174" s="13" t="s">
        <v>350</v>
      </c>
      <c r="D174" s="1" t="s">
        <v>28</v>
      </c>
      <c r="E174" s="14">
        <v>43370</v>
      </c>
      <c r="F174" s="2" t="s">
        <v>29</v>
      </c>
      <c r="G174" s="2" t="s">
        <v>1429</v>
      </c>
      <c r="H174" s="2" t="s">
        <v>1428</v>
      </c>
      <c r="I174" s="2" t="s">
        <v>1430</v>
      </c>
      <c r="J174" s="2" t="s">
        <v>353</v>
      </c>
      <c r="K174" s="2">
        <v>191.6</v>
      </c>
      <c r="L174" s="2">
        <v>3832</v>
      </c>
      <c r="M174" s="2" t="s">
        <v>1431</v>
      </c>
      <c r="N174" s="2" t="s">
        <v>35</v>
      </c>
      <c r="O174" s="2">
        <v>41.2</v>
      </c>
      <c r="P174" s="9">
        <f t="shared" si="5"/>
        <v>1442</v>
      </c>
      <c r="Q174" s="2" t="s">
        <v>1432</v>
      </c>
      <c r="R174" s="2" t="s">
        <v>37</v>
      </c>
      <c r="S174" s="9" t="s">
        <v>1433</v>
      </c>
      <c r="T174" s="9" t="s">
        <v>1112</v>
      </c>
      <c r="U174" s="9" t="s">
        <v>40</v>
      </c>
      <c r="V174" s="9">
        <v>6</v>
      </c>
      <c r="Y174" s="2" t="s">
        <v>1434</v>
      </c>
      <c r="Z174" s="19" t="s">
        <v>1114</v>
      </c>
      <c r="AA174" s="20" t="s">
        <v>1435</v>
      </c>
      <c r="AB174" s="20" t="s">
        <v>399</v>
      </c>
      <c r="AC174" s="20" t="s">
        <v>400</v>
      </c>
      <c r="AD174" s="20" t="s">
        <v>610</v>
      </c>
      <c r="AE174" s="20" t="s">
        <v>611</v>
      </c>
      <c r="AG174" s="23">
        <v>400</v>
      </c>
      <c r="AH174" s="23" t="s">
        <v>1434</v>
      </c>
      <c r="AI174" s="23" t="s">
        <v>1642</v>
      </c>
      <c r="AJ174" s="23" t="s">
        <v>400</v>
      </c>
      <c r="AK174" s="23" t="s">
        <v>611</v>
      </c>
      <c r="AL174" s="23">
        <v>0.5585</v>
      </c>
      <c r="AM174" s="24">
        <f t="shared" si="4"/>
        <v>8161262.2039999999</v>
      </c>
      <c r="AN174" s="23"/>
      <c r="AO174" s="25">
        <v>1461282400</v>
      </c>
      <c r="AP174" s="23"/>
      <c r="AQ174" s="13" t="s">
        <v>350</v>
      </c>
      <c r="AR174" s="23"/>
      <c r="AS174" s="23"/>
    </row>
    <row r="175" spans="1:182" ht="16" x14ac:dyDescent="0.2">
      <c r="A175" s="2" t="s">
        <v>31</v>
      </c>
      <c r="B175" s="1" t="s">
        <v>1436</v>
      </c>
      <c r="C175" s="13" t="s">
        <v>350</v>
      </c>
      <c r="D175" s="1" t="s">
        <v>28</v>
      </c>
      <c r="E175" s="14">
        <v>43370</v>
      </c>
      <c r="F175" s="2" t="s">
        <v>29</v>
      </c>
      <c r="G175" s="2" t="s">
        <v>1437</v>
      </c>
      <c r="H175" s="2" t="s">
        <v>1436</v>
      </c>
      <c r="I175" s="2" t="s">
        <v>1438</v>
      </c>
      <c r="J175" s="2" t="s">
        <v>353</v>
      </c>
      <c r="K175" s="2">
        <v>554.32000000000005</v>
      </c>
      <c r="L175" s="2">
        <v>11086.400000000001</v>
      </c>
      <c r="M175" s="2" t="s">
        <v>1439</v>
      </c>
      <c r="N175" s="2" t="s">
        <v>35</v>
      </c>
      <c r="O175" s="2">
        <v>46.08</v>
      </c>
      <c r="P175" s="9">
        <f t="shared" si="5"/>
        <v>1612.8</v>
      </c>
      <c r="Q175" s="2" t="s">
        <v>1440</v>
      </c>
      <c r="R175" s="2" t="s">
        <v>37</v>
      </c>
      <c r="S175" s="9" t="s">
        <v>1441</v>
      </c>
      <c r="T175" s="9" t="s">
        <v>1112</v>
      </c>
      <c r="U175" s="9" t="s">
        <v>54</v>
      </c>
      <c r="V175" s="9">
        <v>6</v>
      </c>
      <c r="Y175" s="2" t="s">
        <v>1442</v>
      </c>
      <c r="Z175" s="19" t="s">
        <v>1114</v>
      </c>
      <c r="AA175" s="20" t="s">
        <v>1443</v>
      </c>
      <c r="AB175" s="20" t="s">
        <v>399</v>
      </c>
      <c r="AC175" s="20" t="s">
        <v>400</v>
      </c>
      <c r="AD175" s="20" t="s">
        <v>619</v>
      </c>
      <c r="AE175" s="20" t="s">
        <v>620</v>
      </c>
      <c r="AG175" s="23">
        <v>401</v>
      </c>
      <c r="AH175" s="23" t="s">
        <v>1442</v>
      </c>
      <c r="AI175" s="23" t="s">
        <v>1642</v>
      </c>
      <c r="AJ175" s="23" t="s">
        <v>400</v>
      </c>
      <c r="AK175" s="23" t="s">
        <v>620</v>
      </c>
      <c r="AL175" s="23">
        <v>0.4199</v>
      </c>
      <c r="AM175" s="24">
        <f t="shared" si="4"/>
        <v>6135924.7976000002</v>
      </c>
      <c r="AN175" s="23"/>
      <c r="AO175" s="25">
        <v>1461282400</v>
      </c>
      <c r="AP175" s="23"/>
      <c r="AQ175" s="13" t="s">
        <v>350</v>
      </c>
      <c r="AR175" s="23"/>
      <c r="AS175" s="23"/>
    </row>
    <row r="176" spans="1:182" ht="16" x14ac:dyDescent="0.2">
      <c r="A176" s="2" t="s">
        <v>31</v>
      </c>
      <c r="B176" s="1" t="s">
        <v>1444</v>
      </c>
      <c r="C176" s="13" t="s">
        <v>350</v>
      </c>
      <c r="D176" s="1" t="s">
        <v>28</v>
      </c>
      <c r="E176" s="14">
        <v>43370</v>
      </c>
      <c r="F176" s="2" t="s">
        <v>29</v>
      </c>
      <c r="G176" s="2" t="s">
        <v>1445</v>
      </c>
      <c r="H176" s="2" t="s">
        <v>1444</v>
      </c>
      <c r="I176" s="2" t="s">
        <v>1446</v>
      </c>
      <c r="J176" s="2" t="s">
        <v>353</v>
      </c>
      <c r="K176" s="2">
        <v>780.16</v>
      </c>
      <c r="L176" s="2">
        <v>15603.199999999999</v>
      </c>
      <c r="M176" s="2" t="s">
        <v>1447</v>
      </c>
      <c r="N176" s="2" t="s">
        <v>35</v>
      </c>
      <c r="O176" s="2">
        <v>63.12</v>
      </c>
      <c r="P176" s="9">
        <f t="shared" si="5"/>
        <v>2209.1999999999998</v>
      </c>
      <c r="Q176" s="2" t="s">
        <v>1448</v>
      </c>
      <c r="R176" s="2" t="s">
        <v>37</v>
      </c>
      <c r="S176" s="9" t="s">
        <v>1449</v>
      </c>
      <c r="T176" s="9" t="s">
        <v>1112</v>
      </c>
      <c r="U176" s="9" t="s">
        <v>65</v>
      </c>
      <c r="V176" s="9">
        <v>6</v>
      </c>
      <c r="Y176" s="2" t="s">
        <v>1450</v>
      </c>
      <c r="Z176" s="19" t="s">
        <v>1114</v>
      </c>
      <c r="AA176" s="20" t="s">
        <v>1451</v>
      </c>
      <c r="AB176" s="20" t="s">
        <v>399</v>
      </c>
      <c r="AC176" s="20" t="s">
        <v>400</v>
      </c>
      <c r="AD176" s="20" t="s">
        <v>628</v>
      </c>
      <c r="AE176" s="20" t="s">
        <v>629</v>
      </c>
      <c r="AG176" s="23">
        <v>402</v>
      </c>
      <c r="AH176" s="23" t="s">
        <v>1450</v>
      </c>
      <c r="AI176" s="23" t="s">
        <v>1642</v>
      </c>
      <c r="AJ176" s="23" t="s">
        <v>400</v>
      </c>
      <c r="AK176" s="23" t="s">
        <v>629</v>
      </c>
      <c r="AL176" s="23">
        <v>0.56330000000000002</v>
      </c>
      <c r="AM176" s="24">
        <f t="shared" si="4"/>
        <v>8231403.7592000011</v>
      </c>
      <c r="AN176" s="23"/>
      <c r="AO176" s="25">
        <v>1461282400</v>
      </c>
      <c r="AP176" s="23"/>
      <c r="AQ176" s="13" t="s">
        <v>350</v>
      </c>
      <c r="AR176" s="23"/>
      <c r="AS176" s="23"/>
    </row>
    <row r="177" spans="1:45" ht="16" x14ac:dyDescent="0.2">
      <c r="A177" s="2" t="s">
        <v>31</v>
      </c>
      <c r="B177" s="1" t="s">
        <v>1452</v>
      </c>
      <c r="C177" s="13" t="s">
        <v>350</v>
      </c>
      <c r="D177" s="1" t="s">
        <v>28</v>
      </c>
      <c r="E177" s="14">
        <v>43370</v>
      </c>
      <c r="F177" s="2" t="s">
        <v>29</v>
      </c>
      <c r="G177" s="2" t="s">
        <v>1453</v>
      </c>
      <c r="H177" s="2" t="s">
        <v>1452</v>
      </c>
      <c r="I177" s="2" t="s">
        <v>1454</v>
      </c>
      <c r="J177" s="2" t="s">
        <v>353</v>
      </c>
      <c r="K177" s="2">
        <v>121.76</v>
      </c>
      <c r="L177" s="2">
        <v>2435.2000000000003</v>
      </c>
      <c r="M177" s="2" t="s">
        <v>1455</v>
      </c>
      <c r="N177" s="2" t="s">
        <v>35</v>
      </c>
      <c r="O177" s="2">
        <v>26.16</v>
      </c>
      <c r="P177" s="9">
        <f t="shared" si="5"/>
        <v>915.6</v>
      </c>
      <c r="Q177" s="2" t="s">
        <v>1456</v>
      </c>
      <c r="R177" s="2" t="s">
        <v>37</v>
      </c>
      <c r="S177" s="9" t="s">
        <v>1457</v>
      </c>
      <c r="T177" s="9" t="s">
        <v>1112</v>
      </c>
      <c r="U177" s="9" t="s">
        <v>76</v>
      </c>
      <c r="V177" s="9">
        <v>6</v>
      </c>
      <c r="Y177" s="2" t="s">
        <v>1458</v>
      </c>
      <c r="Z177" s="19" t="s">
        <v>1114</v>
      </c>
      <c r="AA177" s="20" t="s">
        <v>1459</v>
      </c>
      <c r="AB177" s="20" t="s">
        <v>399</v>
      </c>
      <c r="AC177" s="20" t="s">
        <v>400</v>
      </c>
      <c r="AD177" s="20" t="s">
        <v>637</v>
      </c>
      <c r="AE177" s="20" t="s">
        <v>638</v>
      </c>
      <c r="AG177" s="23">
        <v>403</v>
      </c>
      <c r="AH177" s="23" t="s">
        <v>1458</v>
      </c>
      <c r="AI177" s="23" t="s">
        <v>1642</v>
      </c>
      <c r="AJ177" s="23" t="s">
        <v>400</v>
      </c>
      <c r="AK177" s="23" t="s">
        <v>638</v>
      </c>
      <c r="AL177" s="23">
        <v>0.19589999999999999</v>
      </c>
      <c r="AM177" s="24">
        <f t="shared" si="4"/>
        <v>2862652.2215999998</v>
      </c>
      <c r="AN177" s="23"/>
      <c r="AO177" s="25">
        <v>1461282400</v>
      </c>
      <c r="AP177" s="23"/>
      <c r="AQ177" s="13" t="s">
        <v>350</v>
      </c>
      <c r="AR177" s="23"/>
      <c r="AS177" s="23"/>
    </row>
    <row r="178" spans="1:45" ht="16" x14ac:dyDescent="0.2">
      <c r="A178" s="2" t="s">
        <v>31</v>
      </c>
      <c r="B178" s="1" t="s">
        <v>1460</v>
      </c>
      <c r="C178" s="13" t="s">
        <v>350</v>
      </c>
      <c r="D178" s="1" t="s">
        <v>28</v>
      </c>
      <c r="E178" s="14">
        <v>43370</v>
      </c>
      <c r="F178" s="2" t="s">
        <v>29</v>
      </c>
      <c r="G178" s="2" t="s">
        <v>1461</v>
      </c>
      <c r="H178" s="2" t="s">
        <v>1460</v>
      </c>
      <c r="I178" s="2" t="s">
        <v>1462</v>
      </c>
      <c r="J178" s="2" t="s">
        <v>353</v>
      </c>
      <c r="K178" s="2">
        <v>291.83999999999997</v>
      </c>
      <c r="L178" s="2">
        <v>5836.7999999999993</v>
      </c>
      <c r="M178" s="2" t="s">
        <v>1463</v>
      </c>
      <c r="N178" s="2" t="s">
        <v>35</v>
      </c>
      <c r="O178" s="2">
        <v>37.76</v>
      </c>
      <c r="P178" s="9">
        <f t="shared" si="5"/>
        <v>1321.6</v>
      </c>
      <c r="Q178" s="2" t="s">
        <v>1464</v>
      </c>
      <c r="R178" s="2" t="s">
        <v>37</v>
      </c>
      <c r="S178" s="9" t="s">
        <v>1465</v>
      </c>
      <c r="T178" s="9" t="s">
        <v>1112</v>
      </c>
      <c r="U178" s="9" t="s">
        <v>87</v>
      </c>
      <c r="V178" s="9">
        <v>6</v>
      </c>
      <c r="Y178" s="2" t="s">
        <v>1466</v>
      </c>
      <c r="Z178" s="19" t="s">
        <v>1114</v>
      </c>
      <c r="AA178" s="20" t="s">
        <v>1467</v>
      </c>
      <c r="AB178" s="20" t="s">
        <v>399</v>
      </c>
      <c r="AC178" s="20" t="s">
        <v>400</v>
      </c>
      <c r="AD178" s="20" t="s">
        <v>646</v>
      </c>
      <c r="AE178" s="20" t="s">
        <v>647</v>
      </c>
      <c r="AG178" s="23">
        <v>404</v>
      </c>
      <c r="AH178" s="23" t="s">
        <v>1466</v>
      </c>
      <c r="AI178" s="23" t="s">
        <v>1642</v>
      </c>
      <c r="AJ178" s="23" t="s">
        <v>400</v>
      </c>
      <c r="AK178" s="23" t="s">
        <v>647</v>
      </c>
      <c r="AL178" s="23">
        <v>0.52190000000000003</v>
      </c>
      <c r="AM178" s="24">
        <f t="shared" si="4"/>
        <v>7626432.8456000006</v>
      </c>
      <c r="AN178" s="23"/>
      <c r="AO178" s="25">
        <v>1461282400</v>
      </c>
      <c r="AP178" s="23"/>
      <c r="AQ178" s="13" t="s">
        <v>350</v>
      </c>
      <c r="AR178" s="23"/>
      <c r="AS178" s="23"/>
    </row>
    <row r="179" spans="1:45" ht="16" x14ac:dyDescent="0.2">
      <c r="A179" s="2" t="s">
        <v>31</v>
      </c>
      <c r="B179" s="1" t="s">
        <v>1468</v>
      </c>
      <c r="C179" s="13" t="s">
        <v>350</v>
      </c>
      <c r="D179" s="1" t="s">
        <v>28</v>
      </c>
      <c r="E179" s="14">
        <v>43370</v>
      </c>
      <c r="F179" s="2" t="s">
        <v>29</v>
      </c>
      <c r="G179" s="2" t="s">
        <v>1469</v>
      </c>
      <c r="H179" s="2" t="s">
        <v>1468</v>
      </c>
      <c r="I179" s="2" t="s">
        <v>1470</v>
      </c>
      <c r="J179" s="2" t="s">
        <v>353</v>
      </c>
      <c r="K179" s="2">
        <v>113.68</v>
      </c>
      <c r="L179" s="2">
        <v>2273.6000000000004</v>
      </c>
      <c r="M179" s="2" t="s">
        <v>1471</v>
      </c>
      <c r="N179" s="2" t="s">
        <v>35</v>
      </c>
      <c r="O179" s="2">
        <v>22.16</v>
      </c>
      <c r="P179" s="9">
        <f t="shared" si="5"/>
        <v>775.6</v>
      </c>
      <c r="Q179" s="2" t="s">
        <v>1472</v>
      </c>
      <c r="R179" s="2" t="s">
        <v>37</v>
      </c>
      <c r="S179" s="9" t="s">
        <v>1473</v>
      </c>
      <c r="T179" s="9" t="s">
        <v>1112</v>
      </c>
      <c r="U179" s="9" t="s">
        <v>98</v>
      </c>
      <c r="V179" s="9">
        <v>6</v>
      </c>
      <c r="Y179" s="2" t="s">
        <v>1474</v>
      </c>
      <c r="Z179" s="19" t="s">
        <v>1114</v>
      </c>
      <c r="AA179" s="20" t="s">
        <v>1475</v>
      </c>
      <c r="AB179" s="20" t="s">
        <v>399</v>
      </c>
      <c r="AC179" s="20" t="s">
        <v>400</v>
      </c>
      <c r="AD179" s="20" t="s">
        <v>655</v>
      </c>
      <c r="AE179" s="20" t="s">
        <v>656</v>
      </c>
      <c r="AG179" s="23">
        <v>405</v>
      </c>
      <c r="AH179" s="23" t="s">
        <v>1474</v>
      </c>
      <c r="AI179" s="23" t="s">
        <v>1642</v>
      </c>
      <c r="AJ179" s="23" t="s">
        <v>400</v>
      </c>
      <c r="AK179" s="23" t="s">
        <v>656</v>
      </c>
      <c r="AL179" s="23">
        <v>0.51039999999999996</v>
      </c>
      <c r="AM179" s="24">
        <f t="shared" si="4"/>
        <v>7458385.3695999989</v>
      </c>
      <c r="AN179" s="23"/>
      <c r="AO179" s="25">
        <v>1461282400</v>
      </c>
      <c r="AP179" s="23"/>
      <c r="AQ179" s="13" t="s">
        <v>350</v>
      </c>
      <c r="AR179" s="23"/>
      <c r="AS179" s="23"/>
    </row>
    <row r="180" spans="1:45" ht="16" x14ac:dyDescent="0.2">
      <c r="A180" s="2" t="s">
        <v>31</v>
      </c>
      <c r="B180" s="1" t="s">
        <v>1476</v>
      </c>
      <c r="C180" s="13" t="s">
        <v>350</v>
      </c>
      <c r="D180" s="1" t="s">
        <v>28</v>
      </c>
      <c r="E180" s="14">
        <v>43370</v>
      </c>
      <c r="F180" s="2" t="s">
        <v>29</v>
      </c>
      <c r="G180" s="2" t="s">
        <v>1477</v>
      </c>
      <c r="H180" s="2" t="s">
        <v>1476</v>
      </c>
      <c r="I180" s="2" t="s">
        <v>1478</v>
      </c>
      <c r="J180" s="2" t="s">
        <v>353</v>
      </c>
      <c r="K180" s="2">
        <v>105.2</v>
      </c>
      <c r="L180" s="2">
        <v>2104</v>
      </c>
      <c r="M180" s="2" t="s">
        <v>1479</v>
      </c>
      <c r="N180" s="2" t="s">
        <v>35</v>
      </c>
      <c r="O180" s="2">
        <v>16.32</v>
      </c>
      <c r="P180" s="9">
        <f t="shared" si="5"/>
        <v>571.20000000000005</v>
      </c>
      <c r="Q180" s="2" t="s">
        <v>1480</v>
      </c>
      <c r="R180" s="2" t="s">
        <v>37</v>
      </c>
      <c r="S180" s="9" t="s">
        <v>1481</v>
      </c>
      <c r="T180" s="9" t="s">
        <v>1112</v>
      </c>
      <c r="U180" s="9" t="s">
        <v>109</v>
      </c>
      <c r="V180" s="9">
        <v>6</v>
      </c>
      <c r="W180" s="2">
        <v>21.7</v>
      </c>
      <c r="X180" s="2">
        <v>0.28999999999999998</v>
      </c>
      <c r="Y180" s="2" t="s">
        <v>1482</v>
      </c>
      <c r="Z180" s="19" t="s">
        <v>1114</v>
      </c>
      <c r="AA180" s="20" t="s">
        <v>1483</v>
      </c>
      <c r="AB180" s="20" t="s">
        <v>399</v>
      </c>
      <c r="AC180" s="20" t="s">
        <v>400</v>
      </c>
      <c r="AD180" s="20" t="s">
        <v>664</v>
      </c>
      <c r="AE180" s="20" t="s">
        <v>665</v>
      </c>
      <c r="AG180" s="23">
        <v>406</v>
      </c>
      <c r="AH180" s="23" t="s">
        <v>1482</v>
      </c>
      <c r="AI180" s="23" t="s">
        <v>1642</v>
      </c>
      <c r="AJ180" s="23" t="s">
        <v>400</v>
      </c>
      <c r="AK180" s="23" t="s">
        <v>665</v>
      </c>
      <c r="AL180" s="23">
        <v>0.47799999999999998</v>
      </c>
      <c r="AM180" s="24">
        <f t="shared" si="4"/>
        <v>6984929.8719999995</v>
      </c>
      <c r="AN180" s="23"/>
      <c r="AO180" s="25">
        <v>1461282400</v>
      </c>
      <c r="AP180" s="23"/>
      <c r="AQ180" s="13" t="s">
        <v>350</v>
      </c>
      <c r="AR180" s="23"/>
      <c r="AS180" s="23"/>
    </row>
    <row r="181" spans="1:45" ht="16" x14ac:dyDescent="0.2">
      <c r="A181" s="2" t="s">
        <v>31</v>
      </c>
      <c r="B181" s="1" t="s">
        <v>1484</v>
      </c>
      <c r="C181" s="13" t="s">
        <v>350</v>
      </c>
      <c r="D181" s="1" t="s">
        <v>28</v>
      </c>
      <c r="E181" s="14">
        <v>43370</v>
      </c>
      <c r="F181" s="2" t="s">
        <v>29</v>
      </c>
      <c r="G181" s="2" t="s">
        <v>1485</v>
      </c>
      <c r="H181" s="2" t="s">
        <v>1484</v>
      </c>
      <c r="I181" s="2" t="s">
        <v>1486</v>
      </c>
      <c r="J181" s="2" t="s">
        <v>353</v>
      </c>
      <c r="K181" s="2">
        <v>239.36</v>
      </c>
      <c r="L181" s="2">
        <v>4787.2000000000007</v>
      </c>
      <c r="M181" s="2" t="s">
        <v>1487</v>
      </c>
      <c r="N181" s="2" t="s">
        <v>35</v>
      </c>
      <c r="O181" s="2">
        <v>37.04</v>
      </c>
      <c r="P181" s="9">
        <f t="shared" si="5"/>
        <v>1296.3999999999999</v>
      </c>
      <c r="Q181" s="2" t="s">
        <v>1488</v>
      </c>
      <c r="R181" s="2" t="s">
        <v>37</v>
      </c>
      <c r="S181" s="9" t="s">
        <v>1489</v>
      </c>
      <c r="T181" s="9" t="s">
        <v>1112</v>
      </c>
      <c r="U181" s="9" t="s">
        <v>120</v>
      </c>
      <c r="V181" s="9">
        <v>6</v>
      </c>
      <c r="Y181" s="2" t="s">
        <v>1490</v>
      </c>
      <c r="Z181" s="19" t="s">
        <v>1114</v>
      </c>
      <c r="AA181" s="20" t="s">
        <v>1491</v>
      </c>
      <c r="AB181" s="20" t="s">
        <v>399</v>
      </c>
      <c r="AC181" s="20" t="s">
        <v>400</v>
      </c>
      <c r="AD181" s="20" t="s">
        <v>673</v>
      </c>
      <c r="AE181" s="20" t="s">
        <v>674</v>
      </c>
      <c r="AG181" s="23">
        <v>407</v>
      </c>
      <c r="AH181" s="23" t="s">
        <v>1490</v>
      </c>
      <c r="AI181" s="23" t="s">
        <v>1642</v>
      </c>
      <c r="AJ181" s="23" t="s">
        <v>400</v>
      </c>
      <c r="AK181" s="23" t="s">
        <v>674</v>
      </c>
      <c r="AL181" s="23">
        <v>0.46910000000000002</v>
      </c>
      <c r="AM181" s="24">
        <f t="shared" si="4"/>
        <v>6854875.7384000001</v>
      </c>
      <c r="AN181" s="23"/>
      <c r="AO181" s="25">
        <v>1461282400</v>
      </c>
      <c r="AP181" s="23"/>
      <c r="AQ181" s="13" t="s">
        <v>350</v>
      </c>
      <c r="AR181" s="23"/>
      <c r="AS181" s="23"/>
    </row>
    <row r="182" spans="1:45" ht="16" x14ac:dyDescent="0.2">
      <c r="A182" s="2" t="s">
        <v>31</v>
      </c>
      <c r="B182" s="1" t="s">
        <v>1492</v>
      </c>
      <c r="C182" s="13" t="s">
        <v>350</v>
      </c>
      <c r="D182" s="1" t="s">
        <v>28</v>
      </c>
      <c r="E182" s="14">
        <v>43370</v>
      </c>
      <c r="F182" s="2" t="s">
        <v>29</v>
      </c>
      <c r="G182" s="2" t="s">
        <v>1493</v>
      </c>
      <c r="H182" s="2" t="s">
        <v>1492</v>
      </c>
      <c r="I182" s="2" t="s">
        <v>1494</v>
      </c>
      <c r="J182" s="2" t="s">
        <v>353</v>
      </c>
      <c r="K182" s="2">
        <v>293.44</v>
      </c>
      <c r="L182" s="2">
        <v>5868.8</v>
      </c>
      <c r="M182" s="2" t="s">
        <v>1495</v>
      </c>
      <c r="N182" s="2" t="s">
        <v>35</v>
      </c>
      <c r="O182" s="2">
        <v>38.4</v>
      </c>
      <c r="P182" s="9">
        <f t="shared" si="5"/>
        <v>1344</v>
      </c>
      <c r="Q182" s="2" t="s">
        <v>1496</v>
      </c>
      <c r="R182" s="2" t="s">
        <v>37</v>
      </c>
      <c r="S182" s="9" t="s">
        <v>1497</v>
      </c>
      <c r="T182" s="9" t="s">
        <v>1112</v>
      </c>
      <c r="U182" s="9" t="s">
        <v>40</v>
      </c>
      <c r="V182" s="9">
        <v>7</v>
      </c>
      <c r="Y182" s="2" t="s">
        <v>1498</v>
      </c>
      <c r="Z182" s="19" t="s">
        <v>1114</v>
      </c>
      <c r="AA182" s="20" t="s">
        <v>1499</v>
      </c>
      <c r="AB182" s="20" t="s">
        <v>465</v>
      </c>
      <c r="AC182" s="20" t="s">
        <v>466</v>
      </c>
      <c r="AD182" s="20" t="s">
        <v>610</v>
      </c>
      <c r="AE182" s="20" t="s">
        <v>611</v>
      </c>
      <c r="AG182" s="23">
        <v>408</v>
      </c>
      <c r="AH182" s="23" t="s">
        <v>1498</v>
      </c>
      <c r="AI182" s="23" t="s">
        <v>1642</v>
      </c>
      <c r="AJ182" s="23" t="s">
        <v>466</v>
      </c>
      <c r="AK182" s="23" t="s">
        <v>611</v>
      </c>
      <c r="AL182" s="23">
        <v>0.43290000000000001</v>
      </c>
      <c r="AM182" s="24">
        <f t="shared" si="4"/>
        <v>6325891.5096000005</v>
      </c>
      <c r="AN182" s="23"/>
      <c r="AO182" s="25">
        <v>1461282400</v>
      </c>
      <c r="AP182" s="23"/>
      <c r="AQ182" s="13" t="s">
        <v>350</v>
      </c>
      <c r="AR182" s="23"/>
      <c r="AS182" s="23"/>
    </row>
    <row r="183" spans="1:45" ht="16" x14ac:dyDescent="0.2">
      <c r="A183" s="2" t="s">
        <v>31</v>
      </c>
      <c r="B183" s="1" t="s">
        <v>1500</v>
      </c>
      <c r="C183" s="13" t="s">
        <v>350</v>
      </c>
      <c r="D183" s="1" t="s">
        <v>28</v>
      </c>
      <c r="E183" s="14">
        <v>43370</v>
      </c>
      <c r="F183" s="2" t="s">
        <v>29</v>
      </c>
      <c r="G183" s="2" t="s">
        <v>1501</v>
      </c>
      <c r="H183" s="2" t="s">
        <v>1500</v>
      </c>
      <c r="I183" s="2" t="s">
        <v>1502</v>
      </c>
      <c r="J183" s="2" t="s">
        <v>353</v>
      </c>
      <c r="K183" s="2">
        <v>170.48</v>
      </c>
      <c r="L183" s="2">
        <v>3409.6</v>
      </c>
      <c r="M183" s="2" t="s">
        <v>1503</v>
      </c>
      <c r="N183" s="2" t="s">
        <v>35</v>
      </c>
      <c r="O183" s="2">
        <v>33.6</v>
      </c>
      <c r="P183" s="9">
        <f t="shared" si="5"/>
        <v>1176</v>
      </c>
      <c r="Q183" s="2" t="s">
        <v>1504</v>
      </c>
      <c r="R183" s="2" t="s">
        <v>37</v>
      </c>
      <c r="S183" s="9" t="s">
        <v>1505</v>
      </c>
      <c r="T183" s="9" t="s">
        <v>1112</v>
      </c>
      <c r="U183" s="9" t="s">
        <v>54</v>
      </c>
      <c r="V183" s="9">
        <v>7</v>
      </c>
      <c r="W183" s="2">
        <v>18.399999999999999</v>
      </c>
      <c r="X183" s="2">
        <v>0.22</v>
      </c>
      <c r="Y183" s="2" t="s">
        <v>1506</v>
      </c>
      <c r="Z183" s="19" t="s">
        <v>1114</v>
      </c>
      <c r="AA183" s="20" t="s">
        <v>1507</v>
      </c>
      <c r="AB183" s="20" t="s">
        <v>465</v>
      </c>
      <c r="AC183" s="20" t="s">
        <v>466</v>
      </c>
      <c r="AD183" s="20" t="s">
        <v>619</v>
      </c>
      <c r="AE183" s="20" t="s">
        <v>620</v>
      </c>
      <c r="AG183" s="23">
        <v>409</v>
      </c>
      <c r="AH183" s="23" t="s">
        <v>1506</v>
      </c>
      <c r="AI183" s="23" t="s">
        <v>1642</v>
      </c>
      <c r="AJ183" s="23" t="s">
        <v>466</v>
      </c>
      <c r="AK183" s="23" t="s">
        <v>620</v>
      </c>
      <c r="AL183" s="23">
        <v>0.35630000000000001</v>
      </c>
      <c r="AM183" s="24">
        <f t="shared" si="4"/>
        <v>5206549.1912000002</v>
      </c>
      <c r="AN183" s="23"/>
      <c r="AO183" s="25">
        <v>1461282400</v>
      </c>
      <c r="AP183" s="23"/>
      <c r="AQ183" s="13" t="s">
        <v>350</v>
      </c>
      <c r="AR183" s="23"/>
      <c r="AS183" s="23"/>
    </row>
    <row r="184" spans="1:45" ht="16" x14ac:dyDescent="0.2">
      <c r="A184" s="2" t="s">
        <v>31</v>
      </c>
      <c r="B184" s="1" t="s">
        <v>1508</v>
      </c>
      <c r="C184" s="13" t="s">
        <v>350</v>
      </c>
      <c r="D184" s="1" t="s">
        <v>28</v>
      </c>
      <c r="E184" s="14">
        <v>43370</v>
      </c>
      <c r="F184" s="2" t="s">
        <v>29</v>
      </c>
      <c r="G184" s="2" t="s">
        <v>1509</v>
      </c>
      <c r="H184" s="2" t="s">
        <v>1508</v>
      </c>
      <c r="I184" s="3" t="s">
        <v>1510</v>
      </c>
      <c r="J184" s="2" t="s">
        <v>353</v>
      </c>
      <c r="K184" s="3">
        <v>71.12</v>
      </c>
      <c r="L184" s="3">
        <v>1422.4</v>
      </c>
      <c r="M184" s="2" t="s">
        <v>1511</v>
      </c>
      <c r="N184" s="2" t="s">
        <v>35</v>
      </c>
      <c r="O184" s="2">
        <v>25.04</v>
      </c>
      <c r="P184" s="9">
        <f t="shared" si="5"/>
        <v>876.4</v>
      </c>
      <c r="Q184" s="2" t="s">
        <v>1512</v>
      </c>
      <c r="R184" s="2" t="s">
        <v>37</v>
      </c>
      <c r="S184" s="9" t="s">
        <v>1513</v>
      </c>
      <c r="T184" s="9" t="s">
        <v>1112</v>
      </c>
      <c r="U184" s="9" t="s">
        <v>65</v>
      </c>
      <c r="V184" s="9">
        <v>7</v>
      </c>
      <c r="Y184" s="2" t="s">
        <v>1514</v>
      </c>
      <c r="Z184" s="19" t="s">
        <v>1114</v>
      </c>
      <c r="AA184" s="20" t="s">
        <v>1515</v>
      </c>
      <c r="AB184" s="20" t="s">
        <v>465</v>
      </c>
      <c r="AC184" s="20" t="s">
        <v>466</v>
      </c>
      <c r="AD184" s="20" t="s">
        <v>628</v>
      </c>
      <c r="AE184" s="20" t="s">
        <v>629</v>
      </c>
      <c r="AG184" s="23">
        <v>410</v>
      </c>
      <c r="AH184" s="23" t="s">
        <v>1514</v>
      </c>
      <c r="AI184" s="23" t="s">
        <v>1642</v>
      </c>
      <c r="AJ184" s="23" t="s">
        <v>466</v>
      </c>
      <c r="AK184" s="23" t="s">
        <v>629</v>
      </c>
      <c r="AL184" s="23">
        <v>0.51659999999999995</v>
      </c>
      <c r="AM184" s="24">
        <f t="shared" si="4"/>
        <v>7548984.8783999989</v>
      </c>
      <c r="AN184" s="23"/>
      <c r="AO184" s="25">
        <v>1461282400</v>
      </c>
      <c r="AP184" s="23"/>
      <c r="AQ184" s="13" t="s">
        <v>350</v>
      </c>
      <c r="AR184" s="23"/>
      <c r="AS184" s="23"/>
    </row>
    <row r="185" spans="1:45" ht="16" x14ac:dyDescent="0.2">
      <c r="A185" s="2" t="s">
        <v>31</v>
      </c>
      <c r="B185" s="1" t="s">
        <v>1516</v>
      </c>
      <c r="C185" s="13" t="s">
        <v>350</v>
      </c>
      <c r="D185" s="1" t="s">
        <v>28</v>
      </c>
      <c r="E185" s="14">
        <v>43370</v>
      </c>
      <c r="F185" s="2" t="s">
        <v>29</v>
      </c>
      <c r="G185" s="2" t="s">
        <v>1517</v>
      </c>
      <c r="H185" s="2" t="s">
        <v>1516</v>
      </c>
      <c r="I185" s="2" t="s">
        <v>1518</v>
      </c>
      <c r="J185" s="2" t="s">
        <v>353</v>
      </c>
      <c r="K185" s="2">
        <v>332.48</v>
      </c>
      <c r="L185" s="2">
        <v>6649.6</v>
      </c>
      <c r="M185" s="2" t="s">
        <v>1519</v>
      </c>
      <c r="N185" s="2" t="s">
        <v>35</v>
      </c>
      <c r="O185" s="2">
        <v>39.28</v>
      </c>
      <c r="P185" s="9">
        <f t="shared" si="5"/>
        <v>1374.8</v>
      </c>
      <c r="Q185" s="2" t="s">
        <v>1520</v>
      </c>
      <c r="R185" s="2" t="s">
        <v>37</v>
      </c>
      <c r="S185" s="9" t="s">
        <v>1521</v>
      </c>
      <c r="T185" s="9" t="s">
        <v>1112</v>
      </c>
      <c r="U185" s="9" t="s">
        <v>76</v>
      </c>
      <c r="V185" s="9">
        <v>7</v>
      </c>
      <c r="Y185" s="2" t="s">
        <v>1522</v>
      </c>
      <c r="Z185" s="19" t="s">
        <v>1114</v>
      </c>
      <c r="AA185" s="20" t="s">
        <v>1523</v>
      </c>
      <c r="AB185" s="20" t="s">
        <v>465</v>
      </c>
      <c r="AC185" s="20" t="s">
        <v>466</v>
      </c>
      <c r="AD185" s="20" t="s">
        <v>637</v>
      </c>
      <c r="AE185" s="20" t="s">
        <v>638</v>
      </c>
      <c r="AG185" s="23">
        <v>411</v>
      </c>
      <c r="AH185" s="23" t="s">
        <v>1522</v>
      </c>
      <c r="AI185" s="23" t="s">
        <v>1642</v>
      </c>
      <c r="AJ185" s="23" t="s">
        <v>466</v>
      </c>
      <c r="AK185" s="23" t="s">
        <v>638</v>
      </c>
      <c r="AL185" s="23">
        <v>0.48509999999999998</v>
      </c>
      <c r="AM185" s="24">
        <f t="shared" si="4"/>
        <v>7088680.9224000005</v>
      </c>
      <c r="AN185" s="23"/>
      <c r="AO185" s="25">
        <v>1461282400</v>
      </c>
      <c r="AP185" s="23"/>
      <c r="AQ185" s="13" t="s">
        <v>350</v>
      </c>
      <c r="AR185" s="23"/>
      <c r="AS185" s="23"/>
    </row>
    <row r="186" spans="1:45" ht="16" x14ac:dyDescent="0.2">
      <c r="A186" s="2" t="s">
        <v>31</v>
      </c>
      <c r="B186" s="1" t="s">
        <v>1524</v>
      </c>
      <c r="C186" s="13" t="s">
        <v>350</v>
      </c>
      <c r="D186" s="1" t="s">
        <v>28</v>
      </c>
      <c r="E186" s="14">
        <v>43370</v>
      </c>
      <c r="F186" s="2" t="s">
        <v>29</v>
      </c>
      <c r="G186" s="2" t="s">
        <v>1525</v>
      </c>
      <c r="H186" s="2" t="s">
        <v>1524</v>
      </c>
      <c r="I186" s="2" t="s">
        <v>1526</v>
      </c>
      <c r="J186" s="2" t="s">
        <v>353</v>
      </c>
      <c r="K186" s="2">
        <v>414.88</v>
      </c>
      <c r="L186" s="2">
        <v>8297.6</v>
      </c>
      <c r="M186" s="2" t="s">
        <v>1527</v>
      </c>
      <c r="N186" s="2" t="s">
        <v>35</v>
      </c>
      <c r="O186" s="2">
        <v>41.6</v>
      </c>
      <c r="P186" s="9">
        <f t="shared" si="5"/>
        <v>1456</v>
      </c>
      <c r="Q186" s="2" t="s">
        <v>1528</v>
      </c>
      <c r="R186" s="2" t="s">
        <v>37</v>
      </c>
      <c r="S186" s="9" t="s">
        <v>1529</v>
      </c>
      <c r="T186" s="9" t="s">
        <v>1112</v>
      </c>
      <c r="U186" s="9" t="s">
        <v>87</v>
      </c>
      <c r="V186" s="9">
        <v>7</v>
      </c>
      <c r="Y186" s="2" t="s">
        <v>1530</v>
      </c>
      <c r="Z186" s="19" t="s">
        <v>1114</v>
      </c>
      <c r="AA186" s="20" t="s">
        <v>1531</v>
      </c>
      <c r="AB186" s="20" t="s">
        <v>465</v>
      </c>
      <c r="AC186" s="20" t="s">
        <v>466</v>
      </c>
      <c r="AD186" s="20" t="s">
        <v>646</v>
      </c>
      <c r="AE186" s="20" t="s">
        <v>647</v>
      </c>
      <c r="AG186" s="23">
        <v>412</v>
      </c>
      <c r="AH186" s="23" t="s">
        <v>1530</v>
      </c>
      <c r="AI186" s="23" t="s">
        <v>1642</v>
      </c>
      <c r="AJ186" s="23" t="s">
        <v>466</v>
      </c>
      <c r="AK186" s="23" t="s">
        <v>647</v>
      </c>
      <c r="AL186" s="23">
        <v>0.47739999999999999</v>
      </c>
      <c r="AM186" s="24">
        <f t="shared" si="4"/>
        <v>6976162.1776000001</v>
      </c>
      <c r="AN186" s="23"/>
      <c r="AO186" s="25">
        <v>1461282400</v>
      </c>
      <c r="AP186" s="23"/>
      <c r="AQ186" s="13" t="s">
        <v>350</v>
      </c>
      <c r="AR186" s="23"/>
      <c r="AS186" s="23"/>
    </row>
    <row r="187" spans="1:45" ht="16" x14ac:dyDescent="0.2">
      <c r="A187" s="2" t="s">
        <v>31</v>
      </c>
      <c r="B187" s="1" t="s">
        <v>1532</v>
      </c>
      <c r="C187" s="13" t="s">
        <v>350</v>
      </c>
      <c r="D187" s="1" t="s">
        <v>28</v>
      </c>
      <c r="E187" s="14">
        <v>43370</v>
      </c>
      <c r="F187" s="2" t="s">
        <v>29</v>
      </c>
      <c r="G187" s="2" t="s">
        <v>1533</v>
      </c>
      <c r="H187" s="2" t="s">
        <v>1532</v>
      </c>
      <c r="I187" s="2" t="s">
        <v>1534</v>
      </c>
      <c r="J187" s="2" t="s">
        <v>353</v>
      </c>
      <c r="K187" s="2">
        <v>180</v>
      </c>
      <c r="L187" s="2">
        <v>3600</v>
      </c>
      <c r="M187" s="2" t="s">
        <v>1535</v>
      </c>
      <c r="N187" s="2" t="s">
        <v>35</v>
      </c>
      <c r="O187" s="2">
        <v>36</v>
      </c>
      <c r="P187" s="9">
        <f t="shared" si="5"/>
        <v>1260</v>
      </c>
      <c r="Q187" s="2" t="s">
        <v>1536</v>
      </c>
      <c r="R187" s="2" t="s">
        <v>37</v>
      </c>
      <c r="S187" s="9" t="s">
        <v>1537</v>
      </c>
      <c r="T187" s="9" t="s">
        <v>1112</v>
      </c>
      <c r="U187" s="9" t="s">
        <v>98</v>
      </c>
      <c r="V187" s="9">
        <v>7</v>
      </c>
      <c r="Y187" s="2" t="s">
        <v>1538</v>
      </c>
      <c r="Z187" s="19" t="s">
        <v>1114</v>
      </c>
      <c r="AA187" s="20" t="s">
        <v>1539</v>
      </c>
      <c r="AB187" s="20" t="s">
        <v>465</v>
      </c>
      <c r="AC187" s="20" t="s">
        <v>466</v>
      </c>
      <c r="AD187" s="20" t="s">
        <v>655</v>
      </c>
      <c r="AE187" s="20" t="s">
        <v>656</v>
      </c>
      <c r="AG187" s="23">
        <v>413</v>
      </c>
      <c r="AH187" s="23" t="s">
        <v>1538</v>
      </c>
      <c r="AI187" s="23" t="s">
        <v>1642</v>
      </c>
      <c r="AJ187" s="23" t="s">
        <v>466</v>
      </c>
      <c r="AK187" s="23" t="s">
        <v>656</v>
      </c>
      <c r="AL187" s="23">
        <v>0.59</v>
      </c>
      <c r="AM187" s="24">
        <f t="shared" si="4"/>
        <v>8621566.1600000001</v>
      </c>
      <c r="AN187" s="23"/>
      <c r="AO187" s="25">
        <v>1461282400</v>
      </c>
      <c r="AP187" s="23"/>
      <c r="AQ187" s="13" t="s">
        <v>350</v>
      </c>
      <c r="AR187" s="23"/>
      <c r="AS187" s="23"/>
    </row>
    <row r="188" spans="1:45" ht="16" x14ac:dyDescent="0.2">
      <c r="A188" s="2" t="s">
        <v>31</v>
      </c>
      <c r="B188" s="1" t="s">
        <v>1540</v>
      </c>
      <c r="C188" s="13" t="s">
        <v>350</v>
      </c>
      <c r="D188" s="1" t="s">
        <v>28</v>
      </c>
      <c r="E188" s="14">
        <v>43370</v>
      </c>
      <c r="F188" s="2" t="s">
        <v>29</v>
      </c>
      <c r="G188" s="2" t="s">
        <v>1541</v>
      </c>
      <c r="H188" s="2" t="s">
        <v>1540</v>
      </c>
      <c r="I188" s="2" t="s">
        <v>1542</v>
      </c>
      <c r="J188" s="2" t="s">
        <v>353</v>
      </c>
      <c r="K188" s="2">
        <v>269.2</v>
      </c>
      <c r="L188" s="2">
        <v>5384</v>
      </c>
      <c r="M188" s="2" t="s">
        <v>1543</v>
      </c>
      <c r="N188" s="2" t="s">
        <v>35</v>
      </c>
      <c r="O188" s="2">
        <v>33.44</v>
      </c>
      <c r="P188" s="9">
        <f t="shared" si="5"/>
        <v>1170.3999999999999</v>
      </c>
      <c r="Q188" s="2" t="s">
        <v>1544</v>
      </c>
      <c r="R188" s="2" t="s">
        <v>37</v>
      </c>
      <c r="S188" s="9" t="s">
        <v>1545</v>
      </c>
      <c r="T188" s="9" t="s">
        <v>1112</v>
      </c>
      <c r="U188" s="9" t="s">
        <v>109</v>
      </c>
      <c r="V188" s="9">
        <v>7</v>
      </c>
      <c r="Y188" s="2" t="s">
        <v>1546</v>
      </c>
      <c r="Z188" s="19" t="s">
        <v>1114</v>
      </c>
      <c r="AA188" s="20" t="s">
        <v>1547</v>
      </c>
      <c r="AB188" s="20" t="s">
        <v>465</v>
      </c>
      <c r="AC188" s="20" t="s">
        <v>466</v>
      </c>
      <c r="AD188" s="20" t="s">
        <v>664</v>
      </c>
      <c r="AE188" s="20" t="s">
        <v>665</v>
      </c>
      <c r="AG188" s="23">
        <v>414</v>
      </c>
      <c r="AH188" s="23" t="s">
        <v>1546</v>
      </c>
      <c r="AI188" s="23" t="s">
        <v>1642</v>
      </c>
      <c r="AJ188" s="23" t="s">
        <v>466</v>
      </c>
      <c r="AK188" s="23" t="s">
        <v>665</v>
      </c>
      <c r="AL188" s="23">
        <v>0.49809999999999999</v>
      </c>
      <c r="AM188" s="24">
        <f t="shared" si="4"/>
        <v>7278647.6343999989</v>
      </c>
      <c r="AN188" s="23"/>
      <c r="AO188" s="25">
        <v>1461282400</v>
      </c>
      <c r="AP188" s="23"/>
      <c r="AQ188" s="13" t="s">
        <v>350</v>
      </c>
      <c r="AR188" s="23"/>
      <c r="AS188" s="23"/>
    </row>
    <row r="189" spans="1:45" ht="16" x14ac:dyDescent="0.2">
      <c r="A189" s="2" t="s">
        <v>31</v>
      </c>
      <c r="B189" s="1" t="s">
        <v>1548</v>
      </c>
      <c r="C189" s="13" t="s">
        <v>350</v>
      </c>
      <c r="D189" s="1" t="s">
        <v>28</v>
      </c>
      <c r="E189" s="14">
        <v>43370</v>
      </c>
      <c r="F189" s="2" t="s">
        <v>29</v>
      </c>
      <c r="G189" s="2" t="s">
        <v>1549</v>
      </c>
      <c r="H189" s="2" t="s">
        <v>1548</v>
      </c>
      <c r="I189" s="2" t="s">
        <v>1550</v>
      </c>
      <c r="J189" s="2" t="s">
        <v>353</v>
      </c>
      <c r="K189" s="2">
        <v>270.08</v>
      </c>
      <c r="L189" s="2">
        <v>5401.5999999999995</v>
      </c>
      <c r="M189" s="2" t="s">
        <v>1551</v>
      </c>
      <c r="N189" s="2" t="s">
        <v>35</v>
      </c>
      <c r="O189" s="2">
        <v>37.36</v>
      </c>
      <c r="P189" s="9">
        <f t="shared" si="5"/>
        <v>1307.5999999999999</v>
      </c>
      <c r="Q189" s="2" t="s">
        <v>1552</v>
      </c>
      <c r="R189" s="2" t="s">
        <v>37</v>
      </c>
      <c r="S189" s="9" t="s">
        <v>1553</v>
      </c>
      <c r="T189" s="9" t="s">
        <v>1112</v>
      </c>
      <c r="U189" s="9" t="s">
        <v>120</v>
      </c>
      <c r="V189" s="9">
        <v>7</v>
      </c>
      <c r="Y189" s="2" t="s">
        <v>1554</v>
      </c>
      <c r="Z189" s="19" t="s">
        <v>1114</v>
      </c>
      <c r="AA189" s="20" t="s">
        <v>1555</v>
      </c>
      <c r="AB189" s="20" t="s">
        <v>465</v>
      </c>
      <c r="AC189" s="20" t="s">
        <v>466</v>
      </c>
      <c r="AD189" s="20" t="s">
        <v>673</v>
      </c>
      <c r="AE189" s="20" t="s">
        <v>674</v>
      </c>
      <c r="AG189" s="23">
        <v>415</v>
      </c>
      <c r="AH189" s="23" t="s">
        <v>1554</v>
      </c>
      <c r="AI189" s="23" t="s">
        <v>1642</v>
      </c>
      <c r="AJ189" s="23" t="s">
        <v>466</v>
      </c>
      <c r="AK189" s="23" t="s">
        <v>674</v>
      </c>
      <c r="AL189" s="23">
        <v>0.46910000000000002</v>
      </c>
      <c r="AM189" s="24">
        <f t="shared" si="4"/>
        <v>6854875.7384000001</v>
      </c>
      <c r="AN189" s="23"/>
      <c r="AO189" s="25">
        <v>1461282400</v>
      </c>
      <c r="AP189" s="23"/>
      <c r="AQ189" s="13" t="s">
        <v>350</v>
      </c>
      <c r="AR189" s="23"/>
      <c r="AS189" s="23"/>
    </row>
    <row r="190" spans="1:45" ht="16" x14ac:dyDescent="0.2">
      <c r="A190" s="2" t="s">
        <v>31</v>
      </c>
      <c r="B190" s="1" t="s">
        <v>1556</v>
      </c>
      <c r="C190" s="13" t="s">
        <v>350</v>
      </c>
      <c r="D190" s="1" t="s">
        <v>28</v>
      </c>
      <c r="E190" s="14">
        <v>43370</v>
      </c>
      <c r="F190" s="2" t="s">
        <v>29</v>
      </c>
      <c r="G190" s="2" t="s">
        <v>1557</v>
      </c>
      <c r="H190" s="2" t="s">
        <v>1556</v>
      </c>
      <c r="I190" s="2" t="s">
        <v>1558</v>
      </c>
      <c r="J190" s="2" t="s">
        <v>353</v>
      </c>
      <c r="K190" s="2">
        <v>162</v>
      </c>
      <c r="L190" s="2">
        <v>3240</v>
      </c>
      <c r="M190" s="2" t="s">
        <v>1559</v>
      </c>
      <c r="N190" s="2" t="s">
        <v>35</v>
      </c>
      <c r="O190" s="2">
        <v>33.76</v>
      </c>
      <c r="P190" s="9">
        <f t="shared" si="5"/>
        <v>1181.5999999999999</v>
      </c>
      <c r="Q190" s="2" t="s">
        <v>1560</v>
      </c>
      <c r="R190" s="2" t="s">
        <v>37</v>
      </c>
      <c r="S190" s="9" t="s">
        <v>1561</v>
      </c>
      <c r="T190" s="9" t="s">
        <v>1112</v>
      </c>
      <c r="U190" s="9" t="s">
        <v>40</v>
      </c>
      <c r="V190" s="9">
        <v>8</v>
      </c>
      <c r="Y190" s="2" t="s">
        <v>1562</v>
      </c>
      <c r="Z190" s="19" t="s">
        <v>1114</v>
      </c>
      <c r="AA190" s="20" t="s">
        <v>1563</v>
      </c>
      <c r="AB190" s="20" t="s">
        <v>531</v>
      </c>
      <c r="AC190" s="20" t="s">
        <v>532</v>
      </c>
      <c r="AD190" s="20" t="s">
        <v>610</v>
      </c>
      <c r="AE190" s="20" t="s">
        <v>611</v>
      </c>
      <c r="AG190" s="23">
        <v>416</v>
      </c>
      <c r="AH190" s="23" t="s">
        <v>1562</v>
      </c>
      <c r="AI190" s="23" t="s">
        <v>1642</v>
      </c>
      <c r="AJ190" s="23" t="s">
        <v>532</v>
      </c>
      <c r="AK190" s="23" t="s">
        <v>611</v>
      </c>
      <c r="AL190" s="23">
        <v>0.60940000000000005</v>
      </c>
      <c r="AM190" s="24">
        <f t="shared" si="4"/>
        <v>8905054.9456000011</v>
      </c>
      <c r="AN190" s="23"/>
      <c r="AO190" s="25">
        <v>1461282400</v>
      </c>
      <c r="AP190" s="23"/>
      <c r="AQ190" s="13" t="s">
        <v>350</v>
      </c>
      <c r="AR190" s="23"/>
      <c r="AS190" s="23"/>
    </row>
    <row r="191" spans="1:45" ht="16" x14ac:dyDescent="0.2">
      <c r="A191" s="2" t="s">
        <v>31</v>
      </c>
      <c r="B191" s="1" t="s">
        <v>1564</v>
      </c>
      <c r="C191" s="13" t="s">
        <v>350</v>
      </c>
      <c r="D191" s="1" t="s">
        <v>28</v>
      </c>
      <c r="E191" s="14">
        <v>43370</v>
      </c>
      <c r="F191" s="2" t="s">
        <v>29</v>
      </c>
      <c r="G191" s="2" t="s">
        <v>1565</v>
      </c>
      <c r="H191" s="2" t="s">
        <v>1564</v>
      </c>
      <c r="I191" s="2" t="s">
        <v>1566</v>
      </c>
      <c r="J191" s="2" t="s">
        <v>353</v>
      </c>
      <c r="K191" s="2">
        <v>211.04</v>
      </c>
      <c r="L191" s="2">
        <v>4220.8</v>
      </c>
      <c r="M191" s="2" t="s">
        <v>1567</v>
      </c>
      <c r="N191" s="2" t="s">
        <v>35</v>
      </c>
      <c r="O191" s="2">
        <v>35.92</v>
      </c>
      <c r="P191" s="9">
        <f t="shared" si="5"/>
        <v>1257.2</v>
      </c>
      <c r="Q191" s="2" t="s">
        <v>1568</v>
      </c>
      <c r="R191" s="2" t="s">
        <v>37</v>
      </c>
      <c r="S191" s="9" t="s">
        <v>1569</v>
      </c>
      <c r="T191" s="9" t="s">
        <v>1112</v>
      </c>
      <c r="U191" s="9" t="s">
        <v>54</v>
      </c>
      <c r="V191" s="9">
        <v>8</v>
      </c>
      <c r="Y191" s="2" t="s">
        <v>1570</v>
      </c>
      <c r="Z191" s="19" t="s">
        <v>1114</v>
      </c>
      <c r="AA191" s="20" t="s">
        <v>1571</v>
      </c>
      <c r="AB191" s="20" t="s">
        <v>531</v>
      </c>
      <c r="AC191" s="20" t="s">
        <v>532</v>
      </c>
      <c r="AD191" s="20" t="s">
        <v>619</v>
      </c>
      <c r="AE191" s="20" t="s">
        <v>620</v>
      </c>
      <c r="AG191" s="23">
        <v>417</v>
      </c>
      <c r="AH191" s="23" t="s">
        <v>1570</v>
      </c>
      <c r="AI191" s="23" t="s">
        <v>1642</v>
      </c>
      <c r="AJ191" s="23" t="s">
        <v>532</v>
      </c>
      <c r="AK191" s="23" t="s">
        <v>620</v>
      </c>
      <c r="AL191" s="23">
        <v>0.55530000000000002</v>
      </c>
      <c r="AM191" s="24">
        <f t="shared" si="4"/>
        <v>8114501.1672</v>
      </c>
      <c r="AN191" s="23"/>
      <c r="AO191" s="25">
        <v>1461282400</v>
      </c>
      <c r="AP191" s="23"/>
      <c r="AQ191" s="13" t="s">
        <v>350</v>
      </c>
      <c r="AR191" s="23"/>
      <c r="AS191" s="23"/>
    </row>
    <row r="192" spans="1:45" ht="16" x14ac:dyDescent="0.2">
      <c r="A192" s="2" t="s">
        <v>31</v>
      </c>
      <c r="B192" s="1" t="s">
        <v>1572</v>
      </c>
      <c r="C192" s="13" t="s">
        <v>350</v>
      </c>
      <c r="D192" s="1" t="s">
        <v>28</v>
      </c>
      <c r="E192" s="14">
        <v>43370</v>
      </c>
      <c r="F192" s="2" t="s">
        <v>29</v>
      </c>
      <c r="G192" s="2" t="s">
        <v>1573</v>
      </c>
      <c r="H192" s="2" t="s">
        <v>1572</v>
      </c>
      <c r="I192" s="2" t="s">
        <v>1574</v>
      </c>
      <c r="J192" s="2" t="s">
        <v>353</v>
      </c>
      <c r="K192" s="2">
        <v>315.52</v>
      </c>
      <c r="L192" s="2">
        <v>6310.4</v>
      </c>
      <c r="M192" s="2" t="s">
        <v>1575</v>
      </c>
      <c r="N192" s="2" t="s">
        <v>35</v>
      </c>
      <c r="O192" s="2">
        <v>38.64</v>
      </c>
      <c r="P192" s="9">
        <f t="shared" si="5"/>
        <v>1352.4</v>
      </c>
      <c r="Q192" s="2" t="s">
        <v>1576</v>
      </c>
      <c r="R192" s="2" t="s">
        <v>37</v>
      </c>
      <c r="S192" s="9" t="s">
        <v>1577</v>
      </c>
      <c r="T192" s="9" t="s">
        <v>1112</v>
      </c>
      <c r="U192" s="9" t="s">
        <v>65</v>
      </c>
      <c r="V192" s="9">
        <v>8</v>
      </c>
      <c r="Y192" s="2" t="s">
        <v>1578</v>
      </c>
      <c r="Z192" s="19" t="s">
        <v>1114</v>
      </c>
      <c r="AA192" s="20" t="s">
        <v>1579</v>
      </c>
      <c r="AB192" s="20" t="s">
        <v>531</v>
      </c>
      <c r="AC192" s="20" t="s">
        <v>532</v>
      </c>
      <c r="AD192" s="20" t="s">
        <v>628</v>
      </c>
      <c r="AE192" s="20" t="s">
        <v>629</v>
      </c>
      <c r="AG192" s="23">
        <v>418</v>
      </c>
      <c r="AH192" s="23" t="s">
        <v>1578</v>
      </c>
      <c r="AI192" s="23" t="s">
        <v>1642</v>
      </c>
      <c r="AJ192" s="23" t="s">
        <v>532</v>
      </c>
      <c r="AK192" s="23" t="s">
        <v>629</v>
      </c>
      <c r="AL192" s="23">
        <v>0.41110000000000002</v>
      </c>
      <c r="AM192" s="24">
        <f t="shared" si="4"/>
        <v>6007331.9463999998</v>
      </c>
      <c r="AN192" s="23"/>
      <c r="AO192" s="25">
        <v>1461282400</v>
      </c>
      <c r="AP192" s="23"/>
      <c r="AQ192" s="13" t="s">
        <v>350</v>
      </c>
      <c r="AR192" s="23"/>
      <c r="AS192" s="23"/>
    </row>
    <row r="193" spans="1:45" ht="16" x14ac:dyDescent="0.2">
      <c r="A193" s="2" t="s">
        <v>31</v>
      </c>
      <c r="B193" s="1" t="s">
        <v>1580</v>
      </c>
      <c r="C193" s="13" t="s">
        <v>350</v>
      </c>
      <c r="D193" s="1" t="s">
        <v>28</v>
      </c>
      <c r="E193" s="14">
        <v>43370</v>
      </c>
      <c r="F193" s="2" t="s">
        <v>29</v>
      </c>
      <c r="G193" s="2" t="s">
        <v>1581</v>
      </c>
      <c r="H193" s="2" t="s">
        <v>1580</v>
      </c>
      <c r="I193" s="2" t="s">
        <v>1582</v>
      </c>
      <c r="J193" s="2" t="s">
        <v>353</v>
      </c>
      <c r="K193" s="2">
        <v>721.04</v>
      </c>
      <c r="L193" s="2">
        <v>14420.8</v>
      </c>
      <c r="M193" s="2" t="s">
        <v>1583</v>
      </c>
      <c r="N193" s="2" t="s">
        <v>35</v>
      </c>
      <c r="O193" s="2">
        <v>47.68</v>
      </c>
      <c r="P193" s="9">
        <f t="shared" si="5"/>
        <v>1668.8</v>
      </c>
      <c r="Q193" s="2" t="s">
        <v>1584</v>
      </c>
      <c r="R193" s="2" t="s">
        <v>37</v>
      </c>
      <c r="S193" s="9" t="s">
        <v>1585</v>
      </c>
      <c r="T193" s="9" t="s">
        <v>1112</v>
      </c>
      <c r="U193" s="9" t="s">
        <v>76</v>
      </c>
      <c r="V193" s="9">
        <v>8</v>
      </c>
      <c r="Y193" s="2" t="s">
        <v>1586</v>
      </c>
      <c r="Z193" s="19" t="s">
        <v>1114</v>
      </c>
      <c r="AA193" s="20" t="s">
        <v>1587</v>
      </c>
      <c r="AB193" s="20" t="s">
        <v>531</v>
      </c>
      <c r="AC193" s="20" t="s">
        <v>532</v>
      </c>
      <c r="AD193" s="20" t="s">
        <v>637</v>
      </c>
      <c r="AE193" s="20" t="s">
        <v>638</v>
      </c>
      <c r="AG193" s="23">
        <v>419</v>
      </c>
      <c r="AH193" s="23" t="s">
        <v>1586</v>
      </c>
      <c r="AI193" s="23" t="s">
        <v>1642</v>
      </c>
      <c r="AJ193" s="23" t="s">
        <v>532</v>
      </c>
      <c r="AK193" s="23" t="s">
        <v>638</v>
      </c>
      <c r="AL193" s="23">
        <v>0.4844</v>
      </c>
      <c r="AM193" s="24">
        <f t="shared" si="4"/>
        <v>7078451.9455999993</v>
      </c>
      <c r="AN193" s="23"/>
      <c r="AO193" s="25">
        <v>1461282400</v>
      </c>
      <c r="AP193" s="23"/>
      <c r="AQ193" s="13" t="s">
        <v>350</v>
      </c>
      <c r="AR193" s="23"/>
      <c r="AS193" s="23"/>
    </row>
    <row r="194" spans="1:45" ht="16" x14ac:dyDescent="0.2">
      <c r="A194" s="2" t="s">
        <v>31</v>
      </c>
      <c r="B194" s="1" t="s">
        <v>1588</v>
      </c>
      <c r="C194" s="13" t="s">
        <v>350</v>
      </c>
      <c r="D194" s="1" t="s">
        <v>28</v>
      </c>
      <c r="E194" s="14">
        <v>43370</v>
      </c>
      <c r="F194" s="2" t="s">
        <v>29</v>
      </c>
      <c r="G194" s="2" t="s">
        <v>1589</v>
      </c>
      <c r="H194" s="2" t="s">
        <v>1588</v>
      </c>
      <c r="I194" s="2" t="s">
        <v>1590</v>
      </c>
      <c r="J194" s="2" t="s">
        <v>353</v>
      </c>
      <c r="K194" s="2">
        <v>776.16</v>
      </c>
      <c r="L194" s="2">
        <v>15523.199999999999</v>
      </c>
      <c r="M194" s="2" t="s">
        <v>1591</v>
      </c>
      <c r="N194" s="2" t="s">
        <v>35</v>
      </c>
      <c r="O194" s="2">
        <v>53.12</v>
      </c>
      <c r="P194" s="9">
        <f t="shared" si="5"/>
        <v>1859.1999999999998</v>
      </c>
      <c r="Q194" s="2" t="s">
        <v>1592</v>
      </c>
      <c r="R194" s="2" t="s">
        <v>37</v>
      </c>
      <c r="S194" s="9" t="s">
        <v>1593</v>
      </c>
      <c r="T194" s="9" t="s">
        <v>1112</v>
      </c>
      <c r="U194" s="9" t="s">
        <v>87</v>
      </c>
      <c r="V194" s="9">
        <v>8</v>
      </c>
      <c r="Y194" s="2" t="s">
        <v>1594</v>
      </c>
      <c r="Z194" s="19" t="s">
        <v>1114</v>
      </c>
      <c r="AA194" s="20" t="s">
        <v>1595</v>
      </c>
      <c r="AB194" s="20" t="s">
        <v>531</v>
      </c>
      <c r="AC194" s="20" t="s">
        <v>532</v>
      </c>
      <c r="AD194" s="20" t="s">
        <v>646</v>
      </c>
      <c r="AE194" s="20" t="s">
        <v>647</v>
      </c>
      <c r="AG194" s="23">
        <v>420</v>
      </c>
      <c r="AH194" s="23" t="s">
        <v>1594</v>
      </c>
      <c r="AI194" s="23" t="s">
        <v>1642</v>
      </c>
      <c r="AJ194" s="23" t="s">
        <v>532</v>
      </c>
      <c r="AK194" s="23" t="s">
        <v>647</v>
      </c>
      <c r="AL194" s="23">
        <v>0.55679999999999996</v>
      </c>
      <c r="AM194" s="24">
        <f t="shared" si="4"/>
        <v>8136420.4031999996</v>
      </c>
      <c r="AN194" s="23"/>
      <c r="AO194" s="25">
        <v>1461282400</v>
      </c>
      <c r="AP194" s="23"/>
      <c r="AQ194" s="13" t="s">
        <v>350</v>
      </c>
      <c r="AR194" s="23"/>
      <c r="AS194" s="23"/>
    </row>
    <row r="195" spans="1:45" ht="16" x14ac:dyDescent="0.2">
      <c r="A195" s="2" t="s">
        <v>31</v>
      </c>
      <c r="B195" s="1" t="s">
        <v>1596</v>
      </c>
      <c r="C195" s="13" t="s">
        <v>350</v>
      </c>
      <c r="D195" s="1" t="s">
        <v>28</v>
      </c>
      <c r="E195" s="14">
        <v>43370</v>
      </c>
      <c r="F195" s="2" t="s">
        <v>29</v>
      </c>
      <c r="G195" s="2" t="s">
        <v>1597</v>
      </c>
      <c r="H195" s="2" t="s">
        <v>1596</v>
      </c>
      <c r="I195" s="2" t="s">
        <v>1598</v>
      </c>
      <c r="J195" s="2" t="s">
        <v>353</v>
      </c>
      <c r="K195" s="2">
        <v>638.88</v>
      </c>
      <c r="L195" s="2">
        <v>12777.6</v>
      </c>
      <c r="M195" s="2" t="s">
        <v>1599</v>
      </c>
      <c r="N195" s="2" t="s">
        <v>35</v>
      </c>
      <c r="O195" s="2">
        <v>53.52</v>
      </c>
      <c r="P195" s="9">
        <f t="shared" si="5"/>
        <v>1873.2</v>
      </c>
      <c r="Q195" s="2" t="s">
        <v>1600</v>
      </c>
      <c r="R195" s="2" t="s">
        <v>37</v>
      </c>
      <c r="S195" s="9" t="s">
        <v>1601</v>
      </c>
      <c r="T195" s="9" t="s">
        <v>1112</v>
      </c>
      <c r="U195" s="9" t="s">
        <v>98</v>
      </c>
      <c r="V195" s="9">
        <v>8</v>
      </c>
      <c r="W195" s="2">
        <v>25.3</v>
      </c>
      <c r="X195" s="2">
        <v>0.31</v>
      </c>
      <c r="Y195" s="2" t="s">
        <v>1602</v>
      </c>
      <c r="Z195" s="19" t="s">
        <v>1114</v>
      </c>
      <c r="AA195" s="20" t="s">
        <v>1603</v>
      </c>
      <c r="AB195" s="20" t="s">
        <v>531</v>
      </c>
      <c r="AC195" s="20" t="s">
        <v>532</v>
      </c>
      <c r="AD195" s="20" t="s">
        <v>655</v>
      </c>
      <c r="AE195" s="20" t="s">
        <v>656</v>
      </c>
      <c r="AG195" s="23">
        <v>421</v>
      </c>
      <c r="AH195" s="23" t="s">
        <v>1602</v>
      </c>
      <c r="AI195" s="23" t="s">
        <v>1642</v>
      </c>
      <c r="AJ195" s="23" t="s">
        <v>532</v>
      </c>
      <c r="AK195" s="23" t="s">
        <v>656</v>
      </c>
      <c r="AL195" s="23">
        <v>0.52759999999999996</v>
      </c>
      <c r="AM195" s="24">
        <f>AL195*AO195/100</f>
        <v>7709725.9423999991</v>
      </c>
      <c r="AN195" s="23"/>
      <c r="AO195" s="25">
        <v>1461282400</v>
      </c>
      <c r="AP195" s="23"/>
      <c r="AQ195" s="13" t="s">
        <v>350</v>
      </c>
      <c r="AR195" s="23"/>
      <c r="AS195" s="23"/>
    </row>
    <row r="196" spans="1:45" ht="16" x14ac:dyDescent="0.2">
      <c r="A196" s="2" t="s">
        <v>31</v>
      </c>
      <c r="B196" s="1" t="s">
        <v>1604</v>
      </c>
      <c r="C196" s="13" t="s">
        <v>350</v>
      </c>
      <c r="D196" s="1" t="s">
        <v>28</v>
      </c>
      <c r="E196" s="14">
        <v>43370</v>
      </c>
      <c r="F196" s="2" t="s">
        <v>29</v>
      </c>
      <c r="G196" s="2" t="s">
        <v>1605</v>
      </c>
      <c r="H196" s="2" t="s">
        <v>1604</v>
      </c>
      <c r="I196" s="2" t="s">
        <v>1606</v>
      </c>
      <c r="J196" s="2" t="s">
        <v>353</v>
      </c>
      <c r="K196" s="2">
        <v>182.32</v>
      </c>
      <c r="L196" s="2">
        <v>3646.3999999999996</v>
      </c>
      <c r="M196" s="2" t="s">
        <v>1607</v>
      </c>
      <c r="N196" s="2" t="s">
        <v>35</v>
      </c>
      <c r="O196" s="2">
        <v>33.520000000000003</v>
      </c>
      <c r="P196" s="9">
        <f t="shared" ref="P196:P199" si="6">O196*35</f>
        <v>1173.2</v>
      </c>
      <c r="Q196" s="2" t="s">
        <v>1608</v>
      </c>
      <c r="R196" s="2" t="s">
        <v>37</v>
      </c>
      <c r="S196" s="9" t="s">
        <v>1609</v>
      </c>
      <c r="T196" s="9" t="s">
        <v>1112</v>
      </c>
      <c r="U196" s="9" t="s">
        <v>109</v>
      </c>
      <c r="V196" s="9">
        <v>8</v>
      </c>
      <c r="Y196" s="2" t="s">
        <v>1610</v>
      </c>
      <c r="Z196" s="19" t="s">
        <v>1114</v>
      </c>
      <c r="AA196" s="20" t="s">
        <v>1611</v>
      </c>
      <c r="AB196" s="20" t="s">
        <v>531</v>
      </c>
      <c r="AC196" s="20" t="s">
        <v>532</v>
      </c>
      <c r="AD196" s="20" t="s">
        <v>664</v>
      </c>
      <c r="AE196" s="20" t="s">
        <v>665</v>
      </c>
      <c r="AG196" s="23">
        <v>422</v>
      </c>
      <c r="AH196" s="23" t="s">
        <v>1610</v>
      </c>
      <c r="AI196" s="23" t="s">
        <v>1642</v>
      </c>
      <c r="AJ196" s="23" t="s">
        <v>532</v>
      </c>
      <c r="AK196" s="23" t="s">
        <v>665</v>
      </c>
      <c r="AL196" s="23">
        <v>0.6159</v>
      </c>
      <c r="AM196" s="24">
        <f>AL196*AO196/100</f>
        <v>9000038.3015999999</v>
      </c>
      <c r="AN196" s="23"/>
      <c r="AO196" s="25">
        <v>1461282400</v>
      </c>
      <c r="AP196" s="23"/>
      <c r="AQ196" s="13" t="s">
        <v>350</v>
      </c>
      <c r="AR196" s="23"/>
      <c r="AS196" s="23"/>
    </row>
    <row r="197" spans="1:45" ht="16" x14ac:dyDescent="0.2">
      <c r="A197" s="2" t="s">
        <v>31</v>
      </c>
      <c r="B197" s="1" t="s">
        <v>1612</v>
      </c>
      <c r="C197" s="13" t="s">
        <v>350</v>
      </c>
      <c r="D197" s="1" t="s">
        <v>28</v>
      </c>
      <c r="E197" s="14">
        <v>43370</v>
      </c>
      <c r="F197" s="2" t="s">
        <v>29</v>
      </c>
      <c r="G197" s="2" t="s">
        <v>1613</v>
      </c>
      <c r="H197" s="2" t="s">
        <v>1612</v>
      </c>
      <c r="I197" s="2" t="s">
        <v>1614</v>
      </c>
      <c r="J197" s="2" t="s">
        <v>353</v>
      </c>
      <c r="K197" s="2">
        <v>471.28</v>
      </c>
      <c r="L197" s="2">
        <v>9425.5999999999985</v>
      </c>
      <c r="M197" s="2" t="s">
        <v>1615</v>
      </c>
      <c r="N197" s="2" t="s">
        <v>35</v>
      </c>
      <c r="O197" s="2">
        <v>34.56</v>
      </c>
      <c r="P197" s="9">
        <f t="shared" si="6"/>
        <v>1209.6000000000001</v>
      </c>
      <c r="Q197" s="2" t="s">
        <v>1616</v>
      </c>
      <c r="R197" s="2" t="s">
        <v>37</v>
      </c>
      <c r="S197" s="9" t="s">
        <v>1617</v>
      </c>
      <c r="T197" s="9" t="s">
        <v>1112</v>
      </c>
      <c r="U197" s="9" t="s">
        <v>120</v>
      </c>
      <c r="V197" s="9">
        <v>8</v>
      </c>
      <c r="Y197" s="2" t="s">
        <v>1618</v>
      </c>
      <c r="Z197" s="19" t="s">
        <v>1114</v>
      </c>
      <c r="AA197" s="20" t="s">
        <v>1619</v>
      </c>
      <c r="AB197" s="20" t="s">
        <v>531</v>
      </c>
      <c r="AC197" s="20" t="s">
        <v>532</v>
      </c>
      <c r="AD197" s="20" t="s">
        <v>673</v>
      </c>
      <c r="AE197" s="20" t="s">
        <v>674</v>
      </c>
      <c r="AG197" s="23">
        <v>423</v>
      </c>
      <c r="AH197" s="23" t="s">
        <v>1618</v>
      </c>
      <c r="AI197" s="23" t="s">
        <v>1642</v>
      </c>
      <c r="AJ197" s="23" t="s">
        <v>532</v>
      </c>
      <c r="AK197" s="23" t="s">
        <v>674</v>
      </c>
      <c r="AL197" s="23">
        <v>0.56130000000000002</v>
      </c>
      <c r="AM197" s="24">
        <f>AL197*AO197/100</f>
        <v>8202178.1112000002</v>
      </c>
      <c r="AN197" s="23"/>
      <c r="AO197" s="25">
        <v>1461282400</v>
      </c>
      <c r="AP197" s="23"/>
      <c r="AQ197" s="13" t="s">
        <v>350</v>
      </c>
      <c r="AR197" s="23"/>
      <c r="AS197" s="23"/>
    </row>
    <row r="198" spans="1:45" ht="16" x14ac:dyDescent="0.2">
      <c r="A198" s="2" t="s">
        <v>31</v>
      </c>
      <c r="B198" s="1" t="s">
        <v>1620</v>
      </c>
      <c r="C198" s="13" t="s">
        <v>350</v>
      </c>
      <c r="D198" s="1" t="s">
        <v>28</v>
      </c>
      <c r="E198" s="14">
        <v>43370</v>
      </c>
      <c r="F198" s="2" t="s">
        <v>29</v>
      </c>
      <c r="G198" s="2" t="s">
        <v>1621</v>
      </c>
      <c r="H198" s="2" t="s">
        <v>1620</v>
      </c>
      <c r="I198" s="2" t="s">
        <v>1622</v>
      </c>
      <c r="J198" s="2" t="s">
        <v>353</v>
      </c>
      <c r="K198" s="2">
        <v>435.36</v>
      </c>
      <c r="L198" s="2">
        <v>8707.2000000000007</v>
      </c>
      <c r="M198" s="2" t="s">
        <v>1623</v>
      </c>
      <c r="N198" s="2" t="s">
        <v>35</v>
      </c>
      <c r="O198" s="2">
        <v>46.56</v>
      </c>
      <c r="P198" s="9">
        <f t="shared" si="6"/>
        <v>1629.6000000000001</v>
      </c>
      <c r="Q198" s="2" t="s">
        <v>1624</v>
      </c>
      <c r="R198" s="2" t="s">
        <v>37</v>
      </c>
      <c r="S198" s="9" t="s">
        <v>1625</v>
      </c>
      <c r="T198" s="9" t="s">
        <v>1112</v>
      </c>
      <c r="U198" s="9" t="s">
        <v>40</v>
      </c>
      <c r="V198" s="9">
        <v>9</v>
      </c>
      <c r="Y198" s="2" t="s">
        <v>1626</v>
      </c>
      <c r="Z198" s="19" t="s">
        <v>1114</v>
      </c>
      <c r="AA198" s="20" t="s">
        <v>1627</v>
      </c>
      <c r="AB198" s="20" t="s">
        <v>597</v>
      </c>
      <c r="AC198" s="20" t="s">
        <v>598</v>
      </c>
      <c r="AD198" s="20" t="s">
        <v>610</v>
      </c>
      <c r="AE198" s="20" t="s">
        <v>611</v>
      </c>
      <c r="AG198" s="23">
        <v>424</v>
      </c>
      <c r="AH198" s="23" t="s">
        <v>1626</v>
      </c>
      <c r="AI198" s="23" t="s">
        <v>1642</v>
      </c>
      <c r="AJ198" s="23" t="s">
        <v>598</v>
      </c>
      <c r="AK198" s="23" t="s">
        <v>611</v>
      </c>
      <c r="AL198" s="23">
        <v>0.67789999999999995</v>
      </c>
      <c r="AM198" s="24">
        <f>AL198*AO198/100</f>
        <v>9906033.3895999994</v>
      </c>
      <c r="AN198" s="23"/>
      <c r="AO198" s="25">
        <v>1461282400</v>
      </c>
      <c r="AP198" s="23"/>
      <c r="AQ198" s="13" t="s">
        <v>350</v>
      </c>
      <c r="AR198" s="23"/>
      <c r="AS198" s="23"/>
    </row>
    <row r="199" spans="1:45" ht="16" x14ac:dyDescent="0.2">
      <c r="A199" s="2" t="s">
        <v>31</v>
      </c>
      <c r="B199" s="1" t="s">
        <v>1628</v>
      </c>
      <c r="C199" s="13" t="s">
        <v>350</v>
      </c>
      <c r="D199" s="1" t="s">
        <v>28</v>
      </c>
      <c r="E199" s="14">
        <v>43370</v>
      </c>
      <c r="F199" s="2" t="s">
        <v>29</v>
      </c>
      <c r="G199" s="2" t="s">
        <v>1629</v>
      </c>
      <c r="H199" s="2" t="s">
        <v>1628</v>
      </c>
      <c r="I199" s="2" t="s">
        <v>1630</v>
      </c>
      <c r="J199" s="2" t="s">
        <v>353</v>
      </c>
      <c r="K199" s="2">
        <v>501.52</v>
      </c>
      <c r="L199" s="2">
        <v>10030.4</v>
      </c>
      <c r="M199" s="2" t="s">
        <v>1631</v>
      </c>
      <c r="N199" s="2" t="s">
        <v>35</v>
      </c>
      <c r="O199" s="2">
        <v>49.2</v>
      </c>
      <c r="P199" s="9">
        <f t="shared" si="6"/>
        <v>1722</v>
      </c>
      <c r="Q199" s="2" t="s">
        <v>1632</v>
      </c>
      <c r="R199" s="2" t="s">
        <v>37</v>
      </c>
      <c r="S199" s="9" t="s">
        <v>1633</v>
      </c>
      <c r="T199" s="9" t="s">
        <v>1112</v>
      </c>
      <c r="U199" s="9" t="s">
        <v>54</v>
      </c>
      <c r="V199" s="9">
        <v>9</v>
      </c>
      <c r="Y199" s="2" t="s">
        <v>1634</v>
      </c>
      <c r="Z199" s="19" t="s">
        <v>1114</v>
      </c>
      <c r="AA199" s="20" t="s">
        <v>1635</v>
      </c>
      <c r="AB199" s="20" t="s">
        <v>597</v>
      </c>
      <c r="AC199" s="20" t="s">
        <v>598</v>
      </c>
      <c r="AD199" s="20" t="s">
        <v>619</v>
      </c>
      <c r="AE199" s="20" t="s">
        <v>620</v>
      </c>
      <c r="AG199" s="23">
        <v>425</v>
      </c>
      <c r="AH199" s="23" t="s">
        <v>1634</v>
      </c>
      <c r="AI199" s="23" t="s">
        <v>1642</v>
      </c>
      <c r="AJ199" s="23" t="s">
        <v>598</v>
      </c>
      <c r="AK199" s="23" t="s">
        <v>620</v>
      </c>
      <c r="AL199" s="23">
        <v>0.54820000000000002</v>
      </c>
      <c r="AM199" s="24">
        <f>AL199*AO199/100</f>
        <v>8010750.1168000009</v>
      </c>
      <c r="AN199" s="23"/>
      <c r="AO199" s="25">
        <v>1461282400</v>
      </c>
      <c r="AP199" s="23"/>
      <c r="AQ199" s="13" t="s">
        <v>350</v>
      </c>
      <c r="AR199" s="23"/>
      <c r="AS199" s="23"/>
    </row>
  </sheetData>
  <mergeCells count="1">
    <mergeCell ref="AW1:AX1"/>
  </mergeCells>
  <conditionalFormatting sqref="B2">
    <cfRule type="duplicateValues" dxfId="2" priority="4"/>
  </conditionalFormatting>
  <conditionalFormatting sqref="B3:B199">
    <cfRule type="duplicateValues" dxfId="1" priority="3"/>
  </conditionalFormatting>
  <conditionalFormatting sqref="AM1:AM1048576">
    <cfRule type="cellIs" dxfId="0" priority="2" operator="lessThan">
      <formula>1000000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Benaroya Research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OBrien</dc:creator>
  <cp:lastModifiedBy>Microsoft Office User</cp:lastModifiedBy>
  <dcterms:created xsi:type="dcterms:W3CDTF">2018-10-11T17:14:41Z</dcterms:created>
  <dcterms:modified xsi:type="dcterms:W3CDTF">2019-01-07T21:11:20Z</dcterms:modified>
</cp:coreProperties>
</file>