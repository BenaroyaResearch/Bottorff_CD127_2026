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brivmrc\long\LabShare\Joshua\CD127 project\data for graphs\"/>
    </mc:Choice>
  </mc:AlternateContent>
  <xr:revisionPtr revIDLastSave="0" documentId="13_ncr:1_{2B7D6A0A-F8D9-44D9-8293-93CBC6A2E9BE}" xr6:coauthVersionLast="47" xr6:coauthVersionMax="47" xr10:uidLastSave="{00000000-0000-0000-0000-000000000000}"/>
  <bookViews>
    <workbookView xWindow="28680" yWindow="-120" windowWidth="29040" windowHeight="15840" tabRatio="782" xr2:uid="{00000000-000D-0000-FFFF-FFFF00000000}"/>
  </bookViews>
  <sheets>
    <sheet name="exported data" sheetId="1" r:id="rId1"/>
  </sheets>
  <definedNames>
    <definedName name="_xlnm._FilterDatabase" localSheetId="0" hidden="1">'exported data'!$A$1:$V$209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1" i="1" l="1"/>
  <c r="G211" i="1"/>
  <c r="H211" i="1"/>
  <c r="I211" i="1"/>
  <c r="J211" i="1"/>
  <c r="K211" i="1"/>
  <c r="L211" i="1"/>
  <c r="E211" i="1"/>
  <c r="B190" i="1"/>
  <c r="B173" i="1"/>
  <c r="B109" i="1"/>
  <c r="B26" i="1"/>
  <c r="B44" i="1"/>
  <c r="B36" i="1"/>
  <c r="B186" i="1"/>
  <c r="B191" i="1"/>
  <c r="B176" i="1"/>
  <c r="B51" i="1"/>
  <c r="B80" i="1"/>
  <c r="B101" i="1"/>
  <c r="B62" i="1"/>
  <c r="B118" i="1"/>
  <c r="B192" i="1"/>
  <c r="B39" i="1"/>
  <c r="B60" i="1"/>
  <c r="B95" i="1"/>
  <c r="B120" i="1"/>
  <c r="B66" i="1"/>
  <c r="B69" i="1"/>
  <c r="B193" i="1"/>
  <c r="B174" i="1"/>
  <c r="B50" i="1"/>
  <c r="B146" i="1"/>
  <c r="B53" i="1"/>
  <c r="B155" i="1"/>
  <c r="B73" i="1"/>
  <c r="B123" i="1"/>
  <c r="B65" i="1"/>
  <c r="B138" i="1"/>
  <c r="B136" i="1"/>
  <c r="B105" i="1"/>
  <c r="B158" i="1"/>
  <c r="B46" i="1"/>
  <c r="B166" i="1"/>
  <c r="B194" i="1"/>
  <c r="B30" i="1"/>
  <c r="B96" i="1"/>
  <c r="B178" i="1"/>
  <c r="B43" i="1"/>
  <c r="B107" i="1"/>
  <c r="B19" i="1"/>
  <c r="B100" i="1"/>
  <c r="B115" i="1"/>
  <c r="B164" i="1"/>
  <c r="B195" i="1"/>
  <c r="B126" i="1"/>
  <c r="B82" i="1"/>
  <c r="B157" i="1"/>
  <c r="B113" i="1"/>
  <c r="B10" i="1"/>
  <c r="B17" i="1"/>
  <c r="B163" i="1"/>
  <c r="B131" i="1"/>
  <c r="B148" i="1"/>
  <c r="B196" i="1"/>
  <c r="B160" i="1"/>
  <c r="B139" i="1"/>
  <c r="B76" i="1"/>
  <c r="B132" i="1"/>
  <c r="B127" i="1"/>
  <c r="B168" i="1"/>
  <c r="B171" i="1"/>
  <c r="B90" i="1"/>
  <c r="B64" i="1"/>
  <c r="B169" i="1"/>
  <c r="B75" i="1"/>
  <c r="B144" i="1"/>
  <c r="B197" i="1"/>
  <c r="B58" i="1"/>
  <c r="B198" i="1"/>
  <c r="B32" i="1"/>
  <c r="B149" i="1"/>
  <c r="B154" i="1"/>
  <c r="B29" i="1"/>
  <c r="B87" i="1"/>
  <c r="B106" i="1"/>
  <c r="B68" i="1"/>
  <c r="B199" i="1"/>
  <c r="B181" i="1"/>
  <c r="B48" i="1"/>
  <c r="B9" i="1"/>
  <c r="B167" i="1"/>
  <c r="B77" i="1"/>
  <c r="B200" i="1"/>
  <c r="B182" i="1"/>
  <c r="B201" i="1"/>
  <c r="B170" i="1"/>
  <c r="B162" i="1"/>
  <c r="B114" i="1"/>
  <c r="B25" i="1"/>
  <c r="B202" i="1"/>
  <c r="B116" i="1"/>
  <c r="B203" i="1"/>
  <c r="B172" i="1"/>
  <c r="B175" i="1"/>
  <c r="B156" i="1"/>
  <c r="B133" i="1"/>
  <c r="B83" i="1"/>
  <c r="B134" i="1"/>
  <c r="B97" i="1"/>
  <c r="B94" i="1"/>
  <c r="B150" i="1"/>
  <c r="B57" i="1"/>
  <c r="B183" i="1"/>
  <c r="B112" i="1"/>
  <c r="B204" i="1"/>
  <c r="B205" i="1"/>
  <c r="B206" i="1"/>
  <c r="B22" i="1"/>
  <c r="B33" i="1"/>
  <c r="B161" i="1"/>
  <c r="B145" i="1"/>
  <c r="B122" i="1"/>
  <c r="B20" i="1"/>
  <c r="B124" i="1"/>
  <c r="B128" i="1"/>
  <c r="B151" i="1"/>
  <c r="B49" i="1"/>
  <c r="B5" i="1"/>
  <c r="B63" i="1"/>
  <c r="B185" i="1"/>
  <c r="B4" i="1"/>
  <c r="B7" i="1"/>
  <c r="B71" i="1"/>
  <c r="B207" i="1"/>
  <c r="B129" i="1"/>
  <c r="B184" i="1"/>
  <c r="B85" i="1"/>
  <c r="B102" i="1"/>
  <c r="B47" i="1"/>
  <c r="B61" i="1"/>
  <c r="B78" i="1"/>
  <c r="B208" i="1"/>
  <c r="B135" i="1"/>
  <c r="B177" i="1"/>
  <c r="B159" i="1"/>
  <c r="B93" i="1"/>
  <c r="B111" i="1"/>
  <c r="B55" i="1"/>
  <c r="B137" i="1"/>
  <c r="B81" i="1"/>
  <c r="B89" i="1"/>
  <c r="B152" i="1"/>
  <c r="B41" i="1"/>
  <c r="B209" i="1"/>
  <c r="B54" i="1"/>
  <c r="B45" i="1"/>
  <c r="B141" i="1"/>
  <c r="B84" i="1"/>
  <c r="B142" i="1"/>
  <c r="B31" i="1"/>
  <c r="B74" i="1"/>
  <c r="B92" i="1"/>
  <c r="B130" i="1"/>
  <c r="B59" i="1"/>
  <c r="B13" i="1"/>
  <c r="B165" i="1"/>
  <c r="B27" i="1"/>
  <c r="B15" i="1"/>
  <c r="B140" i="1"/>
  <c r="B6" i="1"/>
  <c r="B14" i="1"/>
  <c r="B8" i="1"/>
  <c r="B147" i="1"/>
  <c r="B103" i="1"/>
  <c r="B70" i="1"/>
  <c r="B23" i="1"/>
  <c r="B117" i="1"/>
  <c r="B104" i="1"/>
  <c r="B143" i="1"/>
  <c r="B86" i="1"/>
  <c r="B28" i="1"/>
  <c r="B11" i="1"/>
  <c r="B24" i="1"/>
  <c r="B12" i="1"/>
  <c r="B119" i="1"/>
  <c r="B35" i="1"/>
  <c r="B110" i="1"/>
  <c r="B91" i="1"/>
  <c r="B99" i="1"/>
  <c r="B34" i="1"/>
  <c r="B88" i="1"/>
  <c r="B16" i="1"/>
  <c r="B18" i="1"/>
  <c r="B42" i="1"/>
  <c r="B40" i="1"/>
  <c r="B52" i="1"/>
  <c r="B153" i="1"/>
  <c r="B3" i="1"/>
  <c r="B121" i="1"/>
  <c r="B125" i="1"/>
  <c r="B2" i="1"/>
  <c r="B21" i="1"/>
  <c r="B37" i="1"/>
  <c r="B180" i="1"/>
  <c r="B98" i="1"/>
  <c r="B72" i="1"/>
  <c r="B56" i="1"/>
  <c r="B67" i="1"/>
  <c r="B187" i="1"/>
  <c r="B79" i="1"/>
  <c r="B179" i="1"/>
  <c r="B188" i="1"/>
  <c r="B38" i="1"/>
  <c r="B108" i="1"/>
  <c r="B189" i="1"/>
</calcChain>
</file>

<file path=xl/sharedStrings.xml><?xml version="1.0" encoding="utf-8"?>
<sst xmlns="http://schemas.openxmlformats.org/spreadsheetml/2006/main" count="1271" uniqueCount="239">
  <si>
    <t>Barcode</t>
  </si>
  <si>
    <t>Masked ID of TN10 Clinical Data_Linsley_20190104_copy 20240716 JMP file</t>
  </si>
  <si>
    <t>TN0001643F01</t>
  </si>
  <si>
    <t>TN0001977F01</t>
  </si>
  <si>
    <t>TN0002100F01</t>
  </si>
  <si>
    <t>TN0002882F01</t>
  </si>
  <si>
    <t>TN0003091F01</t>
  </si>
  <si>
    <t>TN0003215F01</t>
  </si>
  <si>
    <t>TN0003495F01</t>
  </si>
  <si>
    <t>TN0003628F01</t>
  </si>
  <si>
    <t>TN0003637F01</t>
  </si>
  <si>
    <t>TN0004894F01</t>
  </si>
  <si>
    <t>TN0008593F01</t>
  </si>
  <si>
    <t>TN0008709F01</t>
  </si>
  <si>
    <t>TN0009446F01</t>
  </si>
  <si>
    <t>TN0010930F01</t>
  </si>
  <si>
    <t>TN0011445F01</t>
  </si>
  <si>
    <t>ok</t>
  </si>
  <si>
    <t>TN0002881F01</t>
  </si>
  <si>
    <t>TN0003152F01</t>
  </si>
  <si>
    <t>TN0003232F01</t>
  </si>
  <si>
    <t>TN0003312F01</t>
  </si>
  <si>
    <t>TN0003557F01</t>
  </si>
  <si>
    <t>TN0003672F01</t>
  </si>
  <si>
    <t>TN0004471F01</t>
  </si>
  <si>
    <t>TN0005191F01</t>
  </si>
  <si>
    <t>TN0005675F01</t>
  </si>
  <si>
    <t>TN0005826F01</t>
  </si>
  <si>
    <t>TN0009894F01</t>
  </si>
  <si>
    <t>TN0011102F01</t>
  </si>
  <si>
    <t>TN0012861F01</t>
  </si>
  <si>
    <t>TN0012941F01</t>
  </si>
  <si>
    <t>18 months</t>
  </si>
  <si>
    <t>Masked ID of Untitled 17</t>
  </si>
  <si>
    <t>Age of TN10 Clinical Data_Linsley_20190104_copy 20240716 JMP file</t>
  </si>
  <si>
    <t>Treatment Arm of TN10 Clinical Data_Linsley_20190104_copy 20240716 JMP file</t>
  </si>
  <si>
    <t>TN0003396F01</t>
  </si>
  <si>
    <t>TN0003400F01</t>
  </si>
  <si>
    <t>TN0004098F01</t>
  </si>
  <si>
    <t>TN0004364F01</t>
  </si>
  <si>
    <t>TN0004621F01</t>
  </si>
  <si>
    <t>TN0004972F01</t>
  </si>
  <si>
    <t>TN0005718F01</t>
  </si>
  <si>
    <t>TN0007361F01</t>
  </si>
  <si>
    <t>TN0009542F01</t>
  </si>
  <si>
    <t>TN0014219F01</t>
  </si>
  <si>
    <t>metacluster_2</t>
  </si>
  <si>
    <t>TN0002413F01</t>
  </si>
  <si>
    <t>TN0003124F01</t>
  </si>
  <si>
    <t>TN0003493F01</t>
  </si>
  <si>
    <t>TN0004599F01</t>
  </si>
  <si>
    <t>TN0004838F01</t>
  </si>
  <si>
    <t>TN0007729F01</t>
  </si>
  <si>
    <t>TN0008369F01</t>
  </si>
  <si>
    <t>TN0008591F01</t>
  </si>
  <si>
    <t>TN0010062F01</t>
  </si>
  <si>
    <t>TN0010150F01</t>
  </si>
  <si>
    <t>TN0012109F01</t>
  </si>
  <si>
    <t>metacluster_6</t>
  </si>
  <si>
    <t>TN0001640F01</t>
  </si>
  <si>
    <t>TN0002648F01</t>
  </si>
  <si>
    <t>TN0003456F01</t>
  </si>
  <si>
    <t>TN0004353F01</t>
  </si>
  <si>
    <t>TN0004504F01</t>
  </si>
  <si>
    <t>TN0004589F01</t>
  </si>
  <si>
    <t>TN0004944F01</t>
  </si>
  <si>
    <t>TN0005321F01</t>
  </si>
  <si>
    <t>TN0005557F01</t>
  </si>
  <si>
    <t>TN0006259F01</t>
  </si>
  <si>
    <t>TN0009327F01</t>
  </si>
  <si>
    <t>TN0009416F01</t>
  </si>
  <si>
    <t>TN0010132F01</t>
  </si>
  <si>
    <t>TN0010705F01</t>
  </si>
  <si>
    <t>TN0012064F01</t>
  </si>
  <si>
    <t>TN0012566F01</t>
  </si>
  <si>
    <t>TN0001839F01</t>
  </si>
  <si>
    <t>TN0001857F01</t>
  </si>
  <si>
    <t>TN0003140F01</t>
  </si>
  <si>
    <t>TN0003202F01</t>
  </si>
  <si>
    <t>TN0003966F01</t>
  </si>
  <si>
    <t>TN0004668F01</t>
  </si>
  <si>
    <t>TN0005565F01</t>
  </si>
  <si>
    <t>TN0006196F01</t>
  </si>
  <si>
    <t>TN0007781F01</t>
  </si>
  <si>
    <t>TN0008300F01</t>
  </si>
  <si>
    <t>TN0008456F01</t>
  </si>
  <si>
    <t>TN0009775F01</t>
  </si>
  <si>
    <t>TN0013187F01</t>
  </si>
  <si>
    <t>TN0003437F01</t>
  </si>
  <si>
    <t>TN0004174F01</t>
  </si>
  <si>
    <t>TN0004596F01</t>
  </si>
  <si>
    <t>TN0005310F01</t>
  </si>
  <si>
    <t>TN0007500F01</t>
  </si>
  <si>
    <t>TN0008437F01</t>
  </si>
  <si>
    <t>TN0009792F01</t>
  </si>
  <si>
    <t>TN0009934F01</t>
  </si>
  <si>
    <t>TN0010543F01</t>
  </si>
  <si>
    <t>TN0010894F01</t>
  </si>
  <si>
    <t>TN0012901F01</t>
  </si>
  <si>
    <t>TN0013354F01</t>
  </si>
  <si>
    <t>Baseline</t>
  </si>
  <si>
    <t>metacluster_3</t>
  </si>
  <si>
    <t>TN0002037F01</t>
  </si>
  <si>
    <t>TN0002832F01</t>
  </si>
  <si>
    <t>TN0003796F01</t>
  </si>
  <si>
    <t>TN0004817F01</t>
  </si>
  <si>
    <t>TN0005221F01</t>
  </si>
  <si>
    <t>TN0006318F01</t>
  </si>
  <si>
    <t>TN0006935F01</t>
  </si>
  <si>
    <t>TN0009067F01</t>
  </si>
  <si>
    <t>TN0009502F01</t>
  </si>
  <si>
    <t>TN0010698F01</t>
  </si>
  <si>
    <t>TN0011737F01</t>
  </si>
  <si>
    <t>TN0011870F01</t>
  </si>
  <si>
    <t>TN0013864F01</t>
  </si>
  <si>
    <t>3 months</t>
  </si>
  <si>
    <t>metacluster_7</t>
  </si>
  <si>
    <t>Visit</t>
  </si>
  <si>
    <t>TN0002987F01</t>
  </si>
  <si>
    <t>TN0004332F01</t>
  </si>
  <si>
    <t>TN0004479F01</t>
  </si>
  <si>
    <t>TN0004772F01</t>
  </si>
  <si>
    <t>TN0005553F01</t>
  </si>
  <si>
    <t>TN0005798F01</t>
  </si>
  <si>
    <t>TN0005811F01</t>
  </si>
  <si>
    <t>TN0006757F01</t>
  </si>
  <si>
    <t>TN0007090F01</t>
  </si>
  <si>
    <t>TN0009253F01</t>
  </si>
  <si>
    <t>TN0010187F01</t>
  </si>
  <si>
    <t>TN0013739F01</t>
  </si>
  <si>
    <t>TN0002573F01</t>
  </si>
  <si>
    <t>TN0003452F01</t>
  </si>
  <si>
    <t>TN0003954F01</t>
  </si>
  <si>
    <t>TN0004065F01</t>
  </si>
  <si>
    <t>TN0004851F01</t>
  </si>
  <si>
    <t>TN0006845F01</t>
  </si>
  <si>
    <t>TN0007311F01</t>
  </si>
  <si>
    <t>TN0007476F01</t>
  </si>
  <si>
    <t>TN0007591F01</t>
  </si>
  <si>
    <t>TN0007910F01</t>
  </si>
  <si>
    <t>TN0009243F01</t>
  </si>
  <si>
    <t>TN0011398F01</t>
  </si>
  <si>
    <t>TN0012632F01</t>
  </si>
  <si>
    <t>n_Events</t>
  </si>
  <si>
    <t>TN0002888F01</t>
  </si>
  <si>
    <t>TN0003309F01</t>
  </si>
  <si>
    <t>TN0003380F01</t>
  </si>
  <si>
    <t>TN0003758F01</t>
  </si>
  <si>
    <t>TN0004233F01</t>
  </si>
  <si>
    <t>TN0004619F01</t>
  </si>
  <si>
    <t>TN0004814F01</t>
  </si>
  <si>
    <t>TN0004979F01</t>
  </si>
  <si>
    <t>TN0004988F01</t>
  </si>
  <si>
    <t>TN0005014F01</t>
  </si>
  <si>
    <t>TN0005179F01</t>
  </si>
  <si>
    <t>TN0005481F01</t>
  </si>
  <si>
    <t>TN0005534F01</t>
  </si>
  <si>
    <t>TN0005552F01</t>
  </si>
  <si>
    <t>TN0006422F01</t>
  </si>
  <si>
    <t>TN0007310F01</t>
  </si>
  <si>
    <t>Column 1 of 240827_TN10_Clustering_1_pctThresh_8_MCs_freq_summary_CD8 T Cells_frac</t>
  </si>
  <si>
    <t>metacluster_4</t>
  </si>
  <si>
    <t>TN0001763F01</t>
  </si>
  <si>
    <t>TN0002789F01</t>
  </si>
  <si>
    <t>TN0003512F01</t>
  </si>
  <si>
    <t>TN0003943F01</t>
  </si>
  <si>
    <t>TN0004072F01</t>
  </si>
  <si>
    <t>TN0004241F01</t>
  </si>
  <si>
    <t>TN0004645F01</t>
  </si>
  <si>
    <t>TN0005276F01</t>
  </si>
  <si>
    <t>TN0005285F01</t>
  </si>
  <si>
    <t>TN0005955F01</t>
  </si>
  <si>
    <t>TN0008749F01</t>
  </si>
  <si>
    <t>TN0009250F01</t>
  </si>
  <si>
    <t>TN0010961F01</t>
  </si>
  <si>
    <t>Sample</t>
  </si>
  <si>
    <t>metacluster_8</t>
  </si>
  <si>
    <t>TN0002561F01</t>
  </si>
  <si>
    <t>TN0003588F01</t>
  </si>
  <si>
    <t>TN0003694F01</t>
  </si>
  <si>
    <t>TN0003747F01</t>
  </si>
  <si>
    <t>TN0003845F01</t>
  </si>
  <si>
    <t>TN0004538F01</t>
  </si>
  <si>
    <t>TN0004901F01</t>
  </si>
  <si>
    <t>TN0005284F01</t>
  </si>
  <si>
    <t>TN0005777F01</t>
  </si>
  <si>
    <t>TN0008272F01</t>
  </si>
  <si>
    <t>TN0009831F01</t>
  </si>
  <si>
    <t>TN0010352F01</t>
  </si>
  <si>
    <t>TN0011302F01</t>
  </si>
  <si>
    <t>Column 1 of Xtrial TN10 treatment info</t>
  </si>
  <si>
    <t>T1D.event</t>
  </si>
  <si>
    <t>TN0001979F01</t>
  </si>
  <si>
    <t>TN0003684F01</t>
  </si>
  <si>
    <t>TN0003773F01</t>
  </si>
  <si>
    <t>TN0004017F01</t>
  </si>
  <si>
    <t>TN0005020F01</t>
  </si>
  <si>
    <t>TN0006753F01</t>
  </si>
  <si>
    <t>TN0007210F01</t>
  </si>
  <si>
    <t>TN0007268F01</t>
  </si>
  <si>
    <t>TN0007534F01</t>
  </si>
  <si>
    <t>TN0008809F01</t>
  </si>
  <si>
    <t>TN0009080F01</t>
  </si>
  <si>
    <t>TN0010253F01</t>
  </si>
  <si>
    <t>TN0010280F01</t>
  </si>
  <si>
    <t>TN0012292F01</t>
  </si>
  <si>
    <t>Teplizumab</t>
  </si>
  <si>
    <t>TN0001831F01</t>
  </si>
  <si>
    <t>TN0002022F01</t>
  </si>
  <si>
    <t>TN0003421F01</t>
  </si>
  <si>
    <t>TN0003719F01</t>
  </si>
  <si>
    <t>TN0005855F01</t>
  </si>
  <si>
    <t>TN0007040F01</t>
  </si>
  <si>
    <t>TN0007720F01</t>
  </si>
  <si>
    <t>TN0008244F01</t>
  </si>
  <si>
    <t>TN0008941F01</t>
  </si>
  <si>
    <t>TN0010252F01</t>
  </si>
  <si>
    <t>6 months</t>
  </si>
  <si>
    <t>metacluster_1</t>
  </si>
  <si>
    <t>metacluster_5</t>
  </si>
  <si>
    <t>TN0004042F01</t>
  </si>
  <si>
    <t>TN0004296F01</t>
  </si>
  <si>
    <t>TN0005228F01</t>
  </si>
  <si>
    <t>TN0005499F01</t>
  </si>
  <si>
    <t>TN0006529F01</t>
  </si>
  <si>
    <t>TN0007004F01</t>
  </si>
  <si>
    <t>TN0007506F01</t>
  </si>
  <si>
    <t>TN0007630F01</t>
  </si>
  <si>
    <t>TN0008940F01</t>
  </si>
  <si>
    <t>TN0009349F01</t>
  </si>
  <si>
    <t>TN0010904F01</t>
  </si>
  <si>
    <t>TN0011375F01</t>
  </si>
  <si>
    <t>TN0012001F01</t>
  </si>
  <si>
    <t>bad</t>
  </si>
  <si>
    <t>Placebo</t>
  </si>
  <si>
    <t>Lookup value</t>
  </si>
  <si>
    <t>AVG</t>
  </si>
  <si>
    <t>Time.to.Disease</t>
  </si>
  <si>
    <t>Treatment_Arm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</si>
</sst>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1"/>
  <sheetViews>
    <sheetView tabSelected="1" topLeftCell="B1" zoomScale="90" zoomScaleNormal="90" workbookViewId="0">
      <selection activeCell="T10" sqref="T10"/>
    </sheetView>
  </sheetViews>
  <sheetFormatPr defaultRowHeight="15" x14ac:dyDescent="0.25"/>
  <cols>
    <col min="1" max="1" width="0" hidden="1" customWidth="1"/>
    <col min="2" max="2" width="16.85546875" customWidth="1"/>
    <col min="4" max="4" width="0" hidden="1" customWidth="1"/>
    <col min="5" max="12" width="16" bestFit="1" customWidth="1"/>
    <col min="17" max="17" width="0" hidden="1" customWidth="1"/>
  </cols>
  <sheetData>
    <row r="1" spans="1:22" x14ac:dyDescent="0.25">
      <c r="A1" t="s">
        <v>160</v>
      </c>
      <c r="B1" t="s">
        <v>235</v>
      </c>
      <c r="C1" t="s">
        <v>175</v>
      </c>
      <c r="D1" t="s">
        <v>143</v>
      </c>
      <c r="E1" t="s">
        <v>218</v>
      </c>
      <c r="F1" t="s">
        <v>46</v>
      </c>
      <c r="G1" t="s">
        <v>101</v>
      </c>
      <c r="H1" t="s">
        <v>161</v>
      </c>
      <c r="I1" t="s">
        <v>219</v>
      </c>
      <c r="J1" t="s">
        <v>58</v>
      </c>
      <c r="K1" t="s">
        <v>116</v>
      </c>
      <c r="L1" t="s">
        <v>176</v>
      </c>
      <c r="M1" t="s">
        <v>190</v>
      </c>
      <c r="N1" t="s">
        <v>33</v>
      </c>
      <c r="O1" t="s">
        <v>117</v>
      </c>
      <c r="P1" t="s">
        <v>238</v>
      </c>
      <c r="Q1" t="s">
        <v>0</v>
      </c>
      <c r="R1" t="s">
        <v>1</v>
      </c>
      <c r="S1" t="s">
        <v>34</v>
      </c>
      <c r="T1" t="s">
        <v>35</v>
      </c>
      <c r="U1" t="s">
        <v>237</v>
      </c>
      <c r="V1" t="s">
        <v>191</v>
      </c>
    </row>
    <row r="2" spans="1:22" x14ac:dyDescent="0.25">
      <c r="A2">
        <v>86</v>
      </c>
      <c r="B2" t="str">
        <f>CONCATENATE(N2,"_",O2)</f>
        <v>992984_6 months</v>
      </c>
      <c r="C2" t="s">
        <v>183</v>
      </c>
      <c r="D2">
        <v>9950</v>
      </c>
      <c r="E2">
        <v>1.14E-2</v>
      </c>
      <c r="F2">
        <v>0.1847</v>
      </c>
      <c r="G2">
        <v>0</v>
      </c>
      <c r="H2">
        <v>7.51E-2</v>
      </c>
      <c r="I2">
        <v>0.12379999999999999</v>
      </c>
      <c r="J2">
        <v>0</v>
      </c>
      <c r="K2">
        <v>0</v>
      </c>
      <c r="L2">
        <v>0.60499999999999998</v>
      </c>
      <c r="M2" t="s">
        <v>17</v>
      </c>
      <c r="N2">
        <v>992984</v>
      </c>
      <c r="O2" t="s">
        <v>217</v>
      </c>
      <c r="P2" t="s">
        <v>206</v>
      </c>
      <c r="Q2" t="s">
        <v>183</v>
      </c>
      <c r="R2">
        <v>992984</v>
      </c>
      <c r="S2">
        <v>49</v>
      </c>
      <c r="T2" t="s">
        <v>206</v>
      </c>
      <c r="U2">
        <v>59.301848049281297</v>
      </c>
      <c r="V2">
        <v>0</v>
      </c>
    </row>
    <row r="3" spans="1:22" x14ac:dyDescent="0.25">
      <c r="A3">
        <v>74</v>
      </c>
      <c r="B3" t="str">
        <f>CONCATENATE(N3,"_",O3)</f>
        <v>992984_3 months</v>
      </c>
      <c r="C3" t="s">
        <v>90</v>
      </c>
      <c r="D3">
        <v>10000</v>
      </c>
      <c r="E3">
        <v>0</v>
      </c>
      <c r="F3">
        <v>0.19869999999999999</v>
      </c>
      <c r="G3">
        <v>0</v>
      </c>
      <c r="H3">
        <v>8.5199999999999998E-2</v>
      </c>
      <c r="I3">
        <v>0.17799999999999999</v>
      </c>
      <c r="J3">
        <v>0</v>
      </c>
      <c r="K3">
        <v>2.63E-2</v>
      </c>
      <c r="L3">
        <v>0.51180000000000003</v>
      </c>
      <c r="M3" t="s">
        <v>17</v>
      </c>
      <c r="N3">
        <v>992984</v>
      </c>
      <c r="O3" t="s">
        <v>115</v>
      </c>
      <c r="P3" t="s">
        <v>206</v>
      </c>
      <c r="Q3" t="s">
        <v>90</v>
      </c>
      <c r="R3">
        <v>992984</v>
      </c>
      <c r="S3">
        <v>49</v>
      </c>
      <c r="T3" t="s">
        <v>206</v>
      </c>
      <c r="U3">
        <v>59.301848049281297</v>
      </c>
      <c r="V3">
        <v>0</v>
      </c>
    </row>
    <row r="4" spans="1:22" x14ac:dyDescent="0.25">
      <c r="A4">
        <v>131</v>
      </c>
      <c r="B4" t="str">
        <f>CONCATENATE(N4,"_",O4)</f>
        <v>672212_6 months</v>
      </c>
      <c r="C4" t="s">
        <v>159</v>
      </c>
      <c r="D4">
        <v>10000</v>
      </c>
      <c r="E4">
        <v>0.13969999999999999</v>
      </c>
      <c r="F4">
        <v>0.20580000000000001</v>
      </c>
      <c r="G4">
        <v>6.2799999999999995E-2</v>
      </c>
      <c r="H4">
        <v>7.9000000000000001E-2</v>
      </c>
      <c r="I4">
        <v>0.10580000000000001</v>
      </c>
      <c r="J4">
        <v>7.8799999999999995E-2</v>
      </c>
      <c r="K4">
        <v>0</v>
      </c>
      <c r="L4">
        <v>0.3281</v>
      </c>
      <c r="M4" t="s">
        <v>17</v>
      </c>
      <c r="N4">
        <v>672212</v>
      </c>
      <c r="O4" t="s">
        <v>217</v>
      </c>
      <c r="P4" t="s">
        <v>234</v>
      </c>
      <c r="Q4" t="s">
        <v>159</v>
      </c>
      <c r="R4">
        <v>672212</v>
      </c>
      <c r="S4">
        <v>15</v>
      </c>
      <c r="T4" t="s">
        <v>234</v>
      </c>
      <c r="U4">
        <v>36.139630390143701</v>
      </c>
      <c r="V4">
        <v>0</v>
      </c>
    </row>
    <row r="5" spans="1:22" x14ac:dyDescent="0.25">
      <c r="A5">
        <v>128</v>
      </c>
      <c r="B5" t="str">
        <f>CONCATENATE(N5,"_",O5)</f>
        <v>471457_18 months</v>
      </c>
      <c r="C5" t="s">
        <v>126</v>
      </c>
      <c r="D5">
        <v>10000</v>
      </c>
      <c r="E5">
        <v>0.19900000000000001</v>
      </c>
      <c r="F5">
        <v>0.14549999999999999</v>
      </c>
      <c r="G5">
        <v>0</v>
      </c>
      <c r="H5">
        <v>0.12959999999999999</v>
      </c>
      <c r="I5">
        <v>0.15260000000000001</v>
      </c>
      <c r="J5">
        <v>6.3899999999999998E-2</v>
      </c>
      <c r="K5">
        <v>0</v>
      </c>
      <c r="L5">
        <v>0.30940000000000001</v>
      </c>
      <c r="M5" t="s">
        <v>17</v>
      </c>
      <c r="N5">
        <v>471457</v>
      </c>
      <c r="O5" t="s">
        <v>32</v>
      </c>
      <c r="P5" t="s">
        <v>206</v>
      </c>
      <c r="Q5" t="s">
        <v>126</v>
      </c>
      <c r="R5">
        <v>471457</v>
      </c>
      <c r="S5">
        <v>37</v>
      </c>
      <c r="T5" t="s">
        <v>206</v>
      </c>
      <c r="U5">
        <v>47.934291581108802</v>
      </c>
      <c r="V5">
        <v>0</v>
      </c>
    </row>
    <row r="6" spans="1:22" x14ac:dyDescent="0.25">
      <c r="A6">
        <v>101</v>
      </c>
      <c r="B6" t="str">
        <f>CONCATENATE(N6,"_",O6)</f>
        <v>471457_3 months</v>
      </c>
      <c r="C6" t="s">
        <v>66</v>
      </c>
      <c r="D6">
        <v>9905</v>
      </c>
      <c r="E6">
        <v>0.18870000000000001</v>
      </c>
      <c r="F6">
        <v>0.15570000000000001</v>
      </c>
      <c r="G6">
        <v>4.7899999999999998E-2</v>
      </c>
      <c r="H6">
        <v>0.12559999999999999</v>
      </c>
      <c r="I6">
        <v>0.14799999999999999</v>
      </c>
      <c r="J6">
        <v>3.32E-2</v>
      </c>
      <c r="K6">
        <v>0</v>
      </c>
      <c r="L6">
        <v>0.30099999999999999</v>
      </c>
      <c r="M6" t="s">
        <v>17</v>
      </c>
      <c r="N6">
        <v>471457</v>
      </c>
      <c r="O6" t="s">
        <v>115</v>
      </c>
      <c r="P6" t="s">
        <v>206</v>
      </c>
      <c r="Q6" t="s">
        <v>66</v>
      </c>
      <c r="R6">
        <v>471457</v>
      </c>
      <c r="S6">
        <v>37</v>
      </c>
      <c r="T6" t="s">
        <v>206</v>
      </c>
      <c r="U6">
        <v>47.934291581108802</v>
      </c>
      <c r="V6">
        <v>0</v>
      </c>
    </row>
    <row r="7" spans="1:22" x14ac:dyDescent="0.25">
      <c r="A7">
        <v>132</v>
      </c>
      <c r="B7" t="str">
        <f>CONCATENATE(N7,"_",O7)</f>
        <v>610265_6 months</v>
      </c>
      <c r="C7" t="s">
        <v>136</v>
      </c>
      <c r="D7">
        <v>9904</v>
      </c>
      <c r="E7">
        <v>0.1171</v>
      </c>
      <c r="F7">
        <v>0.16220000000000001</v>
      </c>
      <c r="G7">
        <v>0.12709999999999999</v>
      </c>
      <c r="H7">
        <v>0.20599999999999999</v>
      </c>
      <c r="I7">
        <v>5.4399999999999997E-2</v>
      </c>
      <c r="J7">
        <v>4.6600000000000003E-2</v>
      </c>
      <c r="K7">
        <v>0</v>
      </c>
      <c r="L7">
        <v>0.28660000000000002</v>
      </c>
      <c r="M7" t="s">
        <v>17</v>
      </c>
      <c r="N7">
        <v>610265</v>
      </c>
      <c r="O7" t="s">
        <v>217</v>
      </c>
      <c r="P7" t="s">
        <v>234</v>
      </c>
      <c r="Q7" t="s">
        <v>136</v>
      </c>
      <c r="R7">
        <v>610265</v>
      </c>
      <c r="S7">
        <v>13</v>
      </c>
      <c r="T7" t="s">
        <v>234</v>
      </c>
      <c r="U7">
        <v>6.2422997946611902</v>
      </c>
      <c r="V7">
        <v>1</v>
      </c>
    </row>
    <row r="8" spans="1:22" x14ac:dyDescent="0.25">
      <c r="A8">
        <v>42</v>
      </c>
      <c r="B8" t="str">
        <f>CONCATENATE(N8,"_",O8)</f>
        <v>369952_3 months</v>
      </c>
      <c r="C8" t="s">
        <v>178</v>
      </c>
      <c r="D8">
        <v>10000</v>
      </c>
      <c r="E8">
        <v>0.1845</v>
      </c>
      <c r="F8">
        <v>0.15679999999999999</v>
      </c>
      <c r="G8">
        <v>3.0599999999999999E-2</v>
      </c>
      <c r="H8">
        <v>6.1100000000000002E-2</v>
      </c>
      <c r="I8">
        <v>0.24340000000000001</v>
      </c>
      <c r="J8">
        <v>4.1099999999999998E-2</v>
      </c>
      <c r="K8">
        <v>1.66E-2</v>
      </c>
      <c r="L8">
        <v>0.26590000000000003</v>
      </c>
      <c r="M8" t="s">
        <v>17</v>
      </c>
      <c r="N8">
        <v>369952</v>
      </c>
      <c r="O8" t="s">
        <v>115</v>
      </c>
      <c r="P8" t="s">
        <v>206</v>
      </c>
      <c r="Q8" t="s">
        <v>178</v>
      </c>
      <c r="R8">
        <v>369952</v>
      </c>
      <c r="S8">
        <v>12</v>
      </c>
      <c r="T8" t="s">
        <v>206</v>
      </c>
      <c r="U8">
        <v>35.975359342915802</v>
      </c>
      <c r="V8">
        <v>0</v>
      </c>
    </row>
    <row r="9" spans="1:22" x14ac:dyDescent="0.25">
      <c r="A9">
        <v>90</v>
      </c>
      <c r="B9" t="str">
        <f>CONCATENATE(N9,"_",O9)</f>
        <v>451019_18 months</v>
      </c>
      <c r="C9" t="s">
        <v>152</v>
      </c>
      <c r="D9">
        <v>10000</v>
      </c>
      <c r="E9">
        <v>0.1376</v>
      </c>
      <c r="F9">
        <v>0.1996</v>
      </c>
      <c r="G9">
        <v>0.16009999999999999</v>
      </c>
      <c r="H9">
        <v>8.4599999999999995E-2</v>
      </c>
      <c r="I9">
        <v>0.1532</v>
      </c>
      <c r="J9">
        <v>0</v>
      </c>
      <c r="K9">
        <v>0</v>
      </c>
      <c r="L9">
        <v>0.26490000000000002</v>
      </c>
      <c r="M9" t="s">
        <v>17</v>
      </c>
      <c r="N9">
        <v>451019</v>
      </c>
      <c r="O9" t="s">
        <v>32</v>
      </c>
      <c r="P9" t="s">
        <v>234</v>
      </c>
      <c r="Q9" t="s">
        <v>152</v>
      </c>
      <c r="R9">
        <v>451019</v>
      </c>
      <c r="S9">
        <v>39</v>
      </c>
      <c r="T9" t="s">
        <v>234</v>
      </c>
      <c r="U9">
        <v>59.6960985626283</v>
      </c>
      <c r="V9">
        <v>1</v>
      </c>
    </row>
    <row r="10" spans="1:22" x14ac:dyDescent="0.25">
      <c r="A10">
        <v>59</v>
      </c>
      <c r="B10" t="str">
        <f>CONCATENATE(N10,"_",O10)</f>
        <v>451019_6 months</v>
      </c>
      <c r="C10" t="s">
        <v>133</v>
      </c>
      <c r="D10">
        <v>10000</v>
      </c>
      <c r="E10">
        <v>0.1038</v>
      </c>
      <c r="F10">
        <v>0.15939999999999999</v>
      </c>
      <c r="G10">
        <v>0.28089999999999998</v>
      </c>
      <c r="H10">
        <v>9.6799999999999997E-2</v>
      </c>
      <c r="I10">
        <v>9.5600000000000004E-2</v>
      </c>
      <c r="J10">
        <v>0</v>
      </c>
      <c r="K10">
        <v>0</v>
      </c>
      <c r="L10">
        <v>0.26350000000000001</v>
      </c>
      <c r="M10" t="s">
        <v>17</v>
      </c>
      <c r="N10">
        <v>451019</v>
      </c>
      <c r="O10" t="s">
        <v>217</v>
      </c>
      <c r="P10" t="s">
        <v>234</v>
      </c>
      <c r="Q10" t="s">
        <v>133</v>
      </c>
      <c r="R10">
        <v>451019</v>
      </c>
      <c r="S10">
        <v>39</v>
      </c>
      <c r="T10" t="s">
        <v>234</v>
      </c>
      <c r="U10">
        <v>59.6960985626283</v>
      </c>
      <c r="V10">
        <v>1</v>
      </c>
    </row>
    <row r="11" spans="1:22" x14ac:dyDescent="0.25">
      <c r="A11">
        <v>13</v>
      </c>
      <c r="B11" t="str">
        <f>CONCATENATE(N11,"_",O11)</f>
        <v>902103_3 months</v>
      </c>
      <c r="C11" t="s">
        <v>177</v>
      </c>
      <c r="D11">
        <v>10000</v>
      </c>
      <c r="E11">
        <v>0.13930000000000001</v>
      </c>
      <c r="F11">
        <v>0.3528</v>
      </c>
      <c r="G11">
        <v>0</v>
      </c>
      <c r="H11">
        <v>0.11260000000000001</v>
      </c>
      <c r="I11">
        <v>0.1411</v>
      </c>
      <c r="J11">
        <v>0</v>
      </c>
      <c r="K11">
        <v>0</v>
      </c>
      <c r="L11">
        <v>0.25419999999999998</v>
      </c>
      <c r="M11" t="s">
        <v>17</v>
      </c>
      <c r="N11">
        <v>902103</v>
      </c>
      <c r="O11" t="s">
        <v>115</v>
      </c>
      <c r="P11" t="s">
        <v>206</v>
      </c>
      <c r="Q11" t="s">
        <v>177</v>
      </c>
      <c r="R11">
        <v>902103</v>
      </c>
      <c r="S11">
        <v>23</v>
      </c>
      <c r="T11" t="s">
        <v>206</v>
      </c>
      <c r="U11">
        <v>78.817248459958904</v>
      </c>
      <c r="V11">
        <v>0</v>
      </c>
    </row>
    <row r="12" spans="1:22" x14ac:dyDescent="0.25">
      <c r="A12">
        <v>38</v>
      </c>
      <c r="B12" t="str">
        <f>CONCATENATE(N12,"_",O12)</f>
        <v>802857_3 months</v>
      </c>
      <c r="C12" t="s">
        <v>49</v>
      </c>
      <c r="D12">
        <v>9910</v>
      </c>
      <c r="E12">
        <v>0.1328</v>
      </c>
      <c r="F12">
        <v>0.24990000000000001</v>
      </c>
      <c r="G12">
        <v>0</v>
      </c>
      <c r="H12">
        <v>0.17549999999999999</v>
      </c>
      <c r="I12">
        <v>9.8199999999999996E-2</v>
      </c>
      <c r="J12">
        <v>6.5000000000000002E-2</v>
      </c>
      <c r="K12">
        <v>3.5400000000000001E-2</v>
      </c>
      <c r="L12">
        <v>0.2432</v>
      </c>
      <c r="M12" t="s">
        <v>233</v>
      </c>
      <c r="N12">
        <v>802857</v>
      </c>
      <c r="O12" t="s">
        <v>115</v>
      </c>
      <c r="P12" t="s">
        <v>206</v>
      </c>
      <c r="Q12" t="s">
        <v>49</v>
      </c>
      <c r="R12">
        <v>802857</v>
      </c>
      <c r="S12">
        <v>45</v>
      </c>
      <c r="T12" t="s">
        <v>206</v>
      </c>
      <c r="U12">
        <v>72.049281314168397</v>
      </c>
      <c r="V12">
        <v>0</v>
      </c>
    </row>
    <row r="13" spans="1:22" x14ac:dyDescent="0.25">
      <c r="A13">
        <v>135</v>
      </c>
      <c r="B13" t="str">
        <f>CONCATENATE(N13,"_",O13)</f>
        <v>661064_3 months</v>
      </c>
      <c r="C13" t="s">
        <v>92</v>
      </c>
      <c r="D13">
        <v>10000</v>
      </c>
      <c r="E13">
        <v>0.24</v>
      </c>
      <c r="F13">
        <v>7.4999999999999997E-2</v>
      </c>
      <c r="G13">
        <v>0.1043</v>
      </c>
      <c r="H13">
        <v>7.7399999999999997E-2</v>
      </c>
      <c r="I13">
        <v>0.1754</v>
      </c>
      <c r="J13">
        <v>9.1800000000000007E-2</v>
      </c>
      <c r="K13">
        <v>0</v>
      </c>
      <c r="L13">
        <v>0.2361</v>
      </c>
      <c r="M13" t="s">
        <v>17</v>
      </c>
      <c r="N13">
        <v>661064</v>
      </c>
      <c r="O13" t="s">
        <v>115</v>
      </c>
      <c r="P13" t="s">
        <v>206</v>
      </c>
      <c r="Q13" t="s">
        <v>92</v>
      </c>
      <c r="R13">
        <v>661064</v>
      </c>
      <c r="S13">
        <v>11</v>
      </c>
      <c r="T13" t="s">
        <v>206</v>
      </c>
      <c r="U13">
        <v>12.188911704312099</v>
      </c>
      <c r="V13">
        <v>1</v>
      </c>
    </row>
    <row r="14" spans="1:22" x14ac:dyDescent="0.25">
      <c r="A14">
        <v>91</v>
      </c>
      <c r="B14" t="str">
        <f>CONCATENATE(N14,"_",O14)</f>
        <v>471457_Baseline</v>
      </c>
      <c r="C14" t="s">
        <v>153</v>
      </c>
      <c r="D14">
        <v>10000</v>
      </c>
      <c r="E14">
        <v>0.23699999999999999</v>
      </c>
      <c r="F14">
        <v>0.1522</v>
      </c>
      <c r="G14">
        <v>3.56E-2</v>
      </c>
      <c r="H14">
        <v>0.1386</v>
      </c>
      <c r="I14">
        <v>0.1638</v>
      </c>
      <c r="J14">
        <v>4.6899999999999997E-2</v>
      </c>
      <c r="K14">
        <v>0</v>
      </c>
      <c r="L14">
        <v>0.22589999999999999</v>
      </c>
      <c r="M14" t="s">
        <v>17</v>
      </c>
      <c r="N14">
        <v>471457</v>
      </c>
      <c r="O14" t="s">
        <v>100</v>
      </c>
      <c r="P14" t="s">
        <v>206</v>
      </c>
      <c r="Q14" t="s">
        <v>153</v>
      </c>
      <c r="R14">
        <v>471457</v>
      </c>
      <c r="S14">
        <v>37</v>
      </c>
      <c r="T14" t="s">
        <v>206</v>
      </c>
      <c r="U14">
        <v>47.934291581108802</v>
      </c>
      <c r="V14">
        <v>0</v>
      </c>
    </row>
    <row r="15" spans="1:22" x14ac:dyDescent="0.25">
      <c r="A15">
        <v>165</v>
      </c>
      <c r="B15" t="str">
        <f>CONCATENATE(N15,"_",O15)</f>
        <v>954069_3 months</v>
      </c>
      <c r="C15" t="s">
        <v>14</v>
      </c>
      <c r="D15">
        <v>10000</v>
      </c>
      <c r="E15">
        <v>0.19320000000000001</v>
      </c>
      <c r="F15">
        <v>0.14410000000000001</v>
      </c>
      <c r="G15">
        <v>4.0300000000000002E-2</v>
      </c>
      <c r="H15">
        <v>0.1258</v>
      </c>
      <c r="I15">
        <v>0.18909999999999999</v>
      </c>
      <c r="J15">
        <v>7.2099999999999997E-2</v>
      </c>
      <c r="K15">
        <v>1.21E-2</v>
      </c>
      <c r="L15">
        <v>0.2233</v>
      </c>
      <c r="M15" t="s">
        <v>17</v>
      </c>
      <c r="N15">
        <v>954069</v>
      </c>
      <c r="O15" t="s">
        <v>115</v>
      </c>
      <c r="P15" t="s">
        <v>206</v>
      </c>
      <c r="Q15" t="s">
        <v>14</v>
      </c>
      <c r="R15">
        <v>954069</v>
      </c>
      <c r="S15">
        <v>41</v>
      </c>
      <c r="T15" t="s">
        <v>206</v>
      </c>
      <c r="U15">
        <v>24.410677618069801</v>
      </c>
      <c r="V15">
        <v>0</v>
      </c>
    </row>
    <row r="16" spans="1:22" x14ac:dyDescent="0.25">
      <c r="A16">
        <v>17</v>
      </c>
      <c r="B16" t="str">
        <f>CONCATENATE(N16,"_",O16)</f>
        <v>902103_6 months</v>
      </c>
      <c r="C16" t="s">
        <v>103</v>
      </c>
      <c r="D16">
        <v>9966</v>
      </c>
      <c r="E16">
        <v>9.4E-2</v>
      </c>
      <c r="F16">
        <v>0.42059999999999997</v>
      </c>
      <c r="G16">
        <v>0</v>
      </c>
      <c r="H16">
        <v>0.1399</v>
      </c>
      <c r="I16">
        <v>0.1283</v>
      </c>
      <c r="J16">
        <v>0</v>
      </c>
      <c r="K16">
        <v>0</v>
      </c>
      <c r="L16">
        <v>0.21709999999999999</v>
      </c>
      <c r="M16" t="s">
        <v>17</v>
      </c>
      <c r="N16">
        <v>902103</v>
      </c>
      <c r="O16" t="s">
        <v>217</v>
      </c>
      <c r="P16" t="s">
        <v>206</v>
      </c>
      <c r="Q16" t="s">
        <v>103</v>
      </c>
      <c r="R16">
        <v>902103</v>
      </c>
      <c r="S16">
        <v>23</v>
      </c>
      <c r="T16" t="s">
        <v>206</v>
      </c>
      <c r="U16">
        <v>78.817248459958904</v>
      </c>
      <c r="V16">
        <v>0</v>
      </c>
    </row>
    <row r="17" spans="1:22" x14ac:dyDescent="0.25">
      <c r="A17">
        <v>60</v>
      </c>
      <c r="B17" t="str">
        <f>CONCATENATE(N17,"_",O17)</f>
        <v>902103_18 months</v>
      </c>
      <c r="C17" t="s">
        <v>166</v>
      </c>
      <c r="D17">
        <v>9916</v>
      </c>
      <c r="E17">
        <v>0.1671</v>
      </c>
      <c r="F17">
        <v>0.2475</v>
      </c>
      <c r="G17">
        <v>3.3099999999999997E-2</v>
      </c>
      <c r="H17">
        <v>0.18729999999999999</v>
      </c>
      <c r="I17">
        <v>0.14810000000000001</v>
      </c>
      <c r="J17">
        <v>0</v>
      </c>
      <c r="K17">
        <v>0</v>
      </c>
      <c r="L17">
        <v>0.21690000000000001</v>
      </c>
      <c r="M17" t="s">
        <v>17</v>
      </c>
      <c r="N17">
        <v>902103</v>
      </c>
      <c r="O17" t="s">
        <v>32</v>
      </c>
      <c r="P17" t="s">
        <v>206</v>
      </c>
      <c r="Q17" t="s">
        <v>166</v>
      </c>
      <c r="R17">
        <v>902103</v>
      </c>
      <c r="S17">
        <v>23</v>
      </c>
      <c r="T17" t="s">
        <v>206</v>
      </c>
      <c r="U17">
        <v>78.817248459958904</v>
      </c>
      <c r="V17">
        <v>0</v>
      </c>
    </row>
    <row r="18" spans="1:22" x14ac:dyDescent="0.25">
      <c r="A18">
        <v>25</v>
      </c>
      <c r="B18" t="str">
        <f>CONCATENATE(N18,"_",O18)</f>
        <v>802857_Baseline</v>
      </c>
      <c r="C18" t="s">
        <v>19</v>
      </c>
      <c r="D18">
        <v>10000</v>
      </c>
      <c r="E18">
        <v>0.13139999999999999</v>
      </c>
      <c r="F18">
        <v>0.31140000000000001</v>
      </c>
      <c r="G18">
        <v>1.04E-2</v>
      </c>
      <c r="H18">
        <v>0.15</v>
      </c>
      <c r="I18">
        <v>7.9000000000000001E-2</v>
      </c>
      <c r="J18">
        <v>6.1400000000000003E-2</v>
      </c>
      <c r="K18">
        <v>4.0800000000000003E-2</v>
      </c>
      <c r="L18">
        <v>0.21560000000000001</v>
      </c>
      <c r="M18" t="s">
        <v>233</v>
      </c>
      <c r="N18">
        <v>802857</v>
      </c>
      <c r="O18" t="s">
        <v>100</v>
      </c>
      <c r="P18" t="s">
        <v>206</v>
      </c>
      <c r="Q18" t="s">
        <v>19</v>
      </c>
      <c r="R18">
        <v>802857</v>
      </c>
      <c r="S18">
        <v>45</v>
      </c>
      <c r="T18" t="s">
        <v>206</v>
      </c>
      <c r="U18">
        <v>72.049281314168397</v>
      </c>
      <c r="V18">
        <v>0</v>
      </c>
    </row>
    <row r="19" spans="1:22" x14ac:dyDescent="0.25">
      <c r="A19">
        <v>50</v>
      </c>
      <c r="B19" t="str">
        <f>CONCATENATE(N19,"_",O19)</f>
        <v>444800_6 months</v>
      </c>
      <c r="C19" t="s">
        <v>147</v>
      </c>
      <c r="D19">
        <v>10000</v>
      </c>
      <c r="E19">
        <v>0.34820000000000001</v>
      </c>
      <c r="F19">
        <v>0.17649999999999999</v>
      </c>
      <c r="G19">
        <v>8.4199999999999997E-2</v>
      </c>
      <c r="H19">
        <v>3.6900000000000002E-2</v>
      </c>
      <c r="I19">
        <v>9.1800000000000007E-2</v>
      </c>
      <c r="J19">
        <v>4.9299999999999997E-2</v>
      </c>
      <c r="K19">
        <v>0</v>
      </c>
      <c r="L19">
        <v>0.21310000000000001</v>
      </c>
      <c r="M19" t="s">
        <v>17</v>
      </c>
      <c r="N19">
        <v>444800</v>
      </c>
      <c r="O19" t="s">
        <v>217</v>
      </c>
      <c r="P19" t="s">
        <v>234</v>
      </c>
      <c r="Q19" t="s">
        <v>147</v>
      </c>
      <c r="R19">
        <v>444800</v>
      </c>
      <c r="S19">
        <v>14</v>
      </c>
      <c r="T19" t="s">
        <v>234</v>
      </c>
      <c r="U19">
        <v>54.932238193018499</v>
      </c>
      <c r="V19">
        <v>1</v>
      </c>
    </row>
    <row r="20" spans="1:22" x14ac:dyDescent="0.25">
      <c r="A20">
        <v>123</v>
      </c>
      <c r="B20" t="str">
        <f>CONCATENATE(N20,"_",O20)</f>
        <v>610265_3 months</v>
      </c>
      <c r="C20" t="s">
        <v>125</v>
      </c>
      <c r="D20">
        <v>10000</v>
      </c>
      <c r="E20">
        <v>0.18659999999999999</v>
      </c>
      <c r="F20">
        <v>9.3299999999999994E-2</v>
      </c>
      <c r="G20">
        <v>0.24079999999999999</v>
      </c>
      <c r="H20">
        <v>9.0800000000000006E-2</v>
      </c>
      <c r="I20">
        <v>0.18149999999999999</v>
      </c>
      <c r="J20">
        <v>0</v>
      </c>
      <c r="K20">
        <v>0</v>
      </c>
      <c r="L20">
        <v>0.20699999999999999</v>
      </c>
      <c r="M20" t="s">
        <v>17</v>
      </c>
      <c r="N20">
        <v>610265</v>
      </c>
      <c r="O20" t="s">
        <v>115</v>
      </c>
      <c r="P20" t="s">
        <v>234</v>
      </c>
      <c r="Q20" t="s">
        <v>125</v>
      </c>
      <c r="R20">
        <v>610265</v>
      </c>
      <c r="S20">
        <v>13</v>
      </c>
      <c r="T20" t="s">
        <v>234</v>
      </c>
      <c r="U20">
        <v>6.2422997946611902</v>
      </c>
      <c r="V20">
        <v>1</v>
      </c>
    </row>
    <row r="21" spans="1:22" x14ac:dyDescent="0.25">
      <c r="A21">
        <v>202</v>
      </c>
      <c r="B21" t="str">
        <f>CONCATENATE(N21,"_",O21)</f>
        <v>455189_18 months</v>
      </c>
      <c r="C21" t="s">
        <v>98</v>
      </c>
      <c r="D21">
        <v>10000</v>
      </c>
      <c r="E21">
        <v>0.24660000000000001</v>
      </c>
      <c r="F21">
        <v>0.1091</v>
      </c>
      <c r="G21">
        <v>0.14960000000000001</v>
      </c>
      <c r="H21">
        <v>6.4500000000000002E-2</v>
      </c>
      <c r="I21">
        <v>0.16189999999999999</v>
      </c>
      <c r="J21">
        <v>6.3100000000000003E-2</v>
      </c>
      <c r="K21">
        <v>0</v>
      </c>
      <c r="L21">
        <v>0.20519999999999999</v>
      </c>
      <c r="M21" t="s">
        <v>17</v>
      </c>
      <c r="N21">
        <v>455189</v>
      </c>
      <c r="O21" t="s">
        <v>32</v>
      </c>
      <c r="P21" t="s">
        <v>206</v>
      </c>
      <c r="Q21" t="s">
        <v>98</v>
      </c>
      <c r="R21">
        <v>455189</v>
      </c>
      <c r="S21">
        <v>31</v>
      </c>
      <c r="T21" t="s">
        <v>206</v>
      </c>
      <c r="U21">
        <v>25.133470225872699</v>
      </c>
      <c r="V21">
        <v>0</v>
      </c>
    </row>
    <row r="22" spans="1:22" x14ac:dyDescent="0.25">
      <c r="A22">
        <v>118</v>
      </c>
      <c r="B22" t="str">
        <f>CONCATENATE(N22,"_",O22)</f>
        <v>610265_Baseline</v>
      </c>
      <c r="C22" t="s">
        <v>68</v>
      </c>
      <c r="D22">
        <v>10000</v>
      </c>
      <c r="E22">
        <v>0.2198</v>
      </c>
      <c r="F22">
        <v>0.1221</v>
      </c>
      <c r="G22">
        <v>0.19189999999999999</v>
      </c>
      <c r="H22">
        <v>9.4200000000000006E-2</v>
      </c>
      <c r="I22">
        <v>0.1678</v>
      </c>
      <c r="J22">
        <v>0</v>
      </c>
      <c r="K22">
        <v>0</v>
      </c>
      <c r="L22">
        <v>0.20419999999999999</v>
      </c>
      <c r="M22" t="s">
        <v>17</v>
      </c>
      <c r="N22">
        <v>610265</v>
      </c>
      <c r="O22" t="s">
        <v>100</v>
      </c>
      <c r="P22" t="s">
        <v>234</v>
      </c>
      <c r="Q22" t="s">
        <v>68</v>
      </c>
      <c r="R22">
        <v>610265</v>
      </c>
      <c r="S22">
        <v>13</v>
      </c>
      <c r="T22" t="s">
        <v>234</v>
      </c>
      <c r="U22">
        <v>6.2422997946611902</v>
      </c>
      <c r="V22">
        <v>1</v>
      </c>
    </row>
    <row r="23" spans="1:22" x14ac:dyDescent="0.25">
      <c r="A23">
        <v>103</v>
      </c>
      <c r="B23" t="str">
        <f>CONCATENATE(N23,"_",O23)</f>
        <v>471457_6 months</v>
      </c>
      <c r="C23" t="s">
        <v>223</v>
      </c>
      <c r="D23">
        <v>10000</v>
      </c>
      <c r="E23">
        <v>0.23400000000000001</v>
      </c>
      <c r="F23">
        <v>0.14829999999999999</v>
      </c>
      <c r="G23">
        <v>0</v>
      </c>
      <c r="H23">
        <v>0.12920000000000001</v>
      </c>
      <c r="I23">
        <v>0.21740000000000001</v>
      </c>
      <c r="J23">
        <v>6.8500000000000005E-2</v>
      </c>
      <c r="K23">
        <v>0</v>
      </c>
      <c r="L23">
        <v>0.2026</v>
      </c>
      <c r="M23" t="s">
        <v>17</v>
      </c>
      <c r="N23">
        <v>471457</v>
      </c>
      <c r="O23" t="s">
        <v>217</v>
      </c>
      <c r="P23" t="s">
        <v>206</v>
      </c>
      <c r="Q23" t="s">
        <v>223</v>
      </c>
      <c r="R23">
        <v>471457</v>
      </c>
      <c r="S23">
        <v>37</v>
      </c>
      <c r="T23" t="s">
        <v>206</v>
      </c>
      <c r="U23">
        <v>47.934291581108802</v>
      </c>
      <c r="V23">
        <v>0</v>
      </c>
    </row>
    <row r="24" spans="1:22" x14ac:dyDescent="0.25">
      <c r="A24">
        <v>119</v>
      </c>
      <c r="B24" t="str">
        <f>CONCATENATE(N24,"_",O24)</f>
        <v>420795_6 months</v>
      </c>
      <c r="C24" t="s">
        <v>107</v>
      </c>
      <c r="D24">
        <v>10000</v>
      </c>
      <c r="E24">
        <v>0.21590000000000001</v>
      </c>
      <c r="F24">
        <v>0.24909999999999999</v>
      </c>
      <c r="G24">
        <v>0.10580000000000001</v>
      </c>
      <c r="H24">
        <v>0</v>
      </c>
      <c r="I24">
        <v>0.22889999999999999</v>
      </c>
      <c r="J24">
        <v>0</v>
      </c>
      <c r="K24">
        <v>0</v>
      </c>
      <c r="L24">
        <v>0.20030000000000001</v>
      </c>
      <c r="M24" t="s">
        <v>233</v>
      </c>
      <c r="N24">
        <v>420795</v>
      </c>
      <c r="O24" t="s">
        <v>217</v>
      </c>
      <c r="P24" t="s">
        <v>206</v>
      </c>
      <c r="Q24" t="s">
        <v>107</v>
      </c>
      <c r="R24">
        <v>420795</v>
      </c>
      <c r="S24">
        <v>13</v>
      </c>
      <c r="T24" t="s">
        <v>206</v>
      </c>
      <c r="U24">
        <v>17.5441478439425</v>
      </c>
      <c r="V24">
        <v>1</v>
      </c>
    </row>
    <row r="25" spans="1:22" x14ac:dyDescent="0.25">
      <c r="A25">
        <v>46</v>
      </c>
      <c r="B25" t="str">
        <f>CONCATENATE(N25,"_",O25)</f>
        <v>700956_3 months</v>
      </c>
      <c r="C25" t="s">
        <v>193</v>
      </c>
      <c r="D25">
        <v>10000</v>
      </c>
      <c r="E25">
        <v>0.3261</v>
      </c>
      <c r="F25">
        <v>0</v>
      </c>
      <c r="G25">
        <v>7.2700000000000001E-2</v>
      </c>
      <c r="H25">
        <v>7.1300000000000002E-2</v>
      </c>
      <c r="I25">
        <v>0.33119999999999999</v>
      </c>
      <c r="J25">
        <v>0</v>
      </c>
      <c r="K25">
        <v>0</v>
      </c>
      <c r="L25">
        <v>0.19869999999999999</v>
      </c>
      <c r="M25" t="s">
        <v>17</v>
      </c>
      <c r="N25">
        <v>700956</v>
      </c>
      <c r="O25" t="s">
        <v>115</v>
      </c>
      <c r="P25" t="s">
        <v>206</v>
      </c>
      <c r="Q25" t="s">
        <v>193</v>
      </c>
      <c r="R25">
        <v>700956</v>
      </c>
      <c r="S25">
        <v>15</v>
      </c>
      <c r="T25" t="s">
        <v>206</v>
      </c>
      <c r="U25">
        <v>21.782340862422998</v>
      </c>
      <c r="V25">
        <v>1</v>
      </c>
    </row>
    <row r="26" spans="1:22" x14ac:dyDescent="0.25">
      <c r="A26">
        <v>117</v>
      </c>
      <c r="B26" t="str">
        <f>CONCATENATE(N26,"_",O26)</f>
        <v>865454_3 months</v>
      </c>
      <c r="C26" t="s">
        <v>82</v>
      </c>
      <c r="D26">
        <v>10000</v>
      </c>
      <c r="E26">
        <v>0.44429999999999997</v>
      </c>
      <c r="F26">
        <v>3.9899999999999998E-2</v>
      </c>
      <c r="G26">
        <v>6.0100000000000001E-2</v>
      </c>
      <c r="H26">
        <v>5.3900000000000003E-2</v>
      </c>
      <c r="I26">
        <v>0.1888</v>
      </c>
      <c r="J26">
        <v>1.6899999999999998E-2</v>
      </c>
      <c r="K26">
        <v>0</v>
      </c>
      <c r="L26">
        <v>0.1961</v>
      </c>
      <c r="M26" t="s">
        <v>17</v>
      </c>
      <c r="N26">
        <v>865454</v>
      </c>
      <c r="O26" t="s">
        <v>115</v>
      </c>
      <c r="P26" t="s">
        <v>206</v>
      </c>
      <c r="Q26" t="s">
        <v>82</v>
      </c>
      <c r="R26">
        <v>865454</v>
      </c>
      <c r="S26">
        <v>9</v>
      </c>
      <c r="T26" t="s">
        <v>206</v>
      </c>
      <c r="U26">
        <v>33.445585215605703</v>
      </c>
      <c r="V26">
        <v>1</v>
      </c>
    </row>
    <row r="27" spans="1:22" x14ac:dyDescent="0.25">
      <c r="A27">
        <v>167</v>
      </c>
      <c r="B27" t="str">
        <f>CONCATENATE(N27,"_",O27)</f>
        <v>455189_3 months</v>
      </c>
      <c r="C27" t="s">
        <v>44</v>
      </c>
      <c r="D27">
        <v>10000</v>
      </c>
      <c r="E27">
        <v>0.22109999999999999</v>
      </c>
      <c r="F27">
        <v>0.13420000000000001</v>
      </c>
      <c r="G27">
        <v>0.1517</v>
      </c>
      <c r="H27">
        <v>5.6000000000000001E-2</v>
      </c>
      <c r="I27">
        <v>0.1651</v>
      </c>
      <c r="J27">
        <v>7.6100000000000001E-2</v>
      </c>
      <c r="K27">
        <v>0</v>
      </c>
      <c r="L27">
        <v>0.1958</v>
      </c>
      <c r="M27" t="s">
        <v>17</v>
      </c>
      <c r="N27">
        <v>455189</v>
      </c>
      <c r="O27" t="s">
        <v>115</v>
      </c>
      <c r="P27" t="s">
        <v>206</v>
      </c>
      <c r="Q27" t="s">
        <v>44</v>
      </c>
      <c r="R27">
        <v>455189</v>
      </c>
      <c r="S27">
        <v>31</v>
      </c>
      <c r="T27" t="s">
        <v>206</v>
      </c>
      <c r="U27">
        <v>25.133470225872699</v>
      </c>
      <c r="V27">
        <v>0</v>
      </c>
    </row>
    <row r="28" spans="1:22" x14ac:dyDescent="0.25">
      <c r="A28">
        <v>181</v>
      </c>
      <c r="B28" t="str">
        <f>CONCATENATE(N28,"_",O28)</f>
        <v>557085_Baseline</v>
      </c>
      <c r="C28" t="s">
        <v>96</v>
      </c>
      <c r="D28">
        <v>9918</v>
      </c>
      <c r="E28">
        <v>0.3866</v>
      </c>
      <c r="F28">
        <v>0</v>
      </c>
      <c r="G28">
        <v>3.7999999999999999E-2</v>
      </c>
      <c r="H28">
        <v>0</v>
      </c>
      <c r="I28">
        <v>0.27529999999999999</v>
      </c>
      <c r="J28">
        <v>0.1171</v>
      </c>
      <c r="K28">
        <v>0</v>
      </c>
      <c r="L28">
        <v>0.18310000000000001</v>
      </c>
      <c r="M28" t="s">
        <v>17</v>
      </c>
      <c r="N28">
        <v>557085</v>
      </c>
      <c r="O28" t="s">
        <v>100</v>
      </c>
      <c r="P28" t="s">
        <v>234</v>
      </c>
      <c r="Q28" t="s">
        <v>96</v>
      </c>
      <c r="R28">
        <v>557085</v>
      </c>
      <c r="S28">
        <v>9</v>
      </c>
      <c r="T28" t="s">
        <v>234</v>
      </c>
      <c r="U28">
        <v>17.5770020533881</v>
      </c>
      <c r="V28">
        <v>0</v>
      </c>
    </row>
    <row r="29" spans="1:22" x14ac:dyDescent="0.25">
      <c r="A29">
        <v>83</v>
      </c>
      <c r="B29" t="str">
        <f>CONCATENATE(N29,"_",O29)</f>
        <v>802857_18 months</v>
      </c>
      <c r="C29" t="s">
        <v>51</v>
      </c>
      <c r="D29">
        <v>10000</v>
      </c>
      <c r="E29">
        <v>0.1497</v>
      </c>
      <c r="F29">
        <v>0.22189999999999999</v>
      </c>
      <c r="G29">
        <v>1.8700000000000001E-2</v>
      </c>
      <c r="H29">
        <v>0.21920000000000001</v>
      </c>
      <c r="I29">
        <v>9.8199999999999996E-2</v>
      </c>
      <c r="J29">
        <v>8.9499999999999996E-2</v>
      </c>
      <c r="K29">
        <v>2.3199999999999998E-2</v>
      </c>
      <c r="L29">
        <v>0.17960000000000001</v>
      </c>
      <c r="M29" t="s">
        <v>233</v>
      </c>
      <c r="N29">
        <v>802857</v>
      </c>
      <c r="O29" t="s">
        <v>32</v>
      </c>
      <c r="P29" t="s">
        <v>206</v>
      </c>
      <c r="Q29" t="s">
        <v>51</v>
      </c>
      <c r="R29">
        <v>802857</v>
      </c>
      <c r="S29">
        <v>45</v>
      </c>
      <c r="T29" t="s">
        <v>206</v>
      </c>
      <c r="U29">
        <v>72.049281314168397</v>
      </c>
      <c r="V29">
        <v>0</v>
      </c>
    </row>
    <row r="30" spans="1:22" x14ac:dyDescent="0.25">
      <c r="A30">
        <v>45</v>
      </c>
      <c r="B30" t="str">
        <f>CONCATENATE(N30,"_",O30)</f>
        <v>451019_3 months</v>
      </c>
      <c r="C30" t="s">
        <v>23</v>
      </c>
      <c r="D30">
        <v>10000</v>
      </c>
      <c r="E30">
        <v>0.19489999999999999</v>
      </c>
      <c r="F30">
        <v>0.1351</v>
      </c>
      <c r="G30">
        <v>0.17230000000000001</v>
      </c>
      <c r="H30">
        <v>5.8799999999999998E-2</v>
      </c>
      <c r="I30">
        <v>0.20369999999999999</v>
      </c>
      <c r="J30">
        <v>5.7299999999999997E-2</v>
      </c>
      <c r="K30">
        <v>0</v>
      </c>
      <c r="L30">
        <v>0.1779</v>
      </c>
      <c r="M30" t="s">
        <v>233</v>
      </c>
      <c r="N30">
        <v>451019</v>
      </c>
      <c r="O30" t="s">
        <v>115</v>
      </c>
      <c r="P30" t="s">
        <v>234</v>
      </c>
      <c r="Q30" t="s">
        <v>23</v>
      </c>
      <c r="R30">
        <v>451019</v>
      </c>
      <c r="S30">
        <v>39</v>
      </c>
      <c r="T30" t="s">
        <v>234</v>
      </c>
      <c r="U30">
        <v>59.6960985626283</v>
      </c>
      <c r="V30">
        <v>1</v>
      </c>
    </row>
    <row r="31" spans="1:22" x14ac:dyDescent="0.25">
      <c r="A31">
        <v>51</v>
      </c>
      <c r="B31" t="str">
        <f>CONCATENATE(N31,"_",O31)</f>
        <v>715944_Baseline</v>
      </c>
      <c r="C31" t="s">
        <v>194</v>
      </c>
      <c r="D31">
        <v>10000</v>
      </c>
      <c r="E31">
        <v>0.28810000000000002</v>
      </c>
      <c r="F31">
        <v>4.6199999999999998E-2</v>
      </c>
      <c r="G31">
        <v>9.01E-2</v>
      </c>
      <c r="H31">
        <v>0</v>
      </c>
      <c r="I31">
        <v>0.38019999999999998</v>
      </c>
      <c r="J31">
        <v>2.7300000000000001E-2</v>
      </c>
      <c r="K31">
        <v>0</v>
      </c>
      <c r="L31">
        <v>0.1681</v>
      </c>
      <c r="M31" t="s">
        <v>17</v>
      </c>
      <c r="N31">
        <v>715944</v>
      </c>
      <c r="O31" t="s">
        <v>100</v>
      </c>
      <c r="P31" t="s">
        <v>206</v>
      </c>
      <c r="Q31" t="s">
        <v>194</v>
      </c>
      <c r="R31">
        <v>715944</v>
      </c>
      <c r="S31">
        <v>11</v>
      </c>
      <c r="T31" t="s">
        <v>206</v>
      </c>
      <c r="U31">
        <v>66.431211498973298</v>
      </c>
      <c r="V31">
        <v>0</v>
      </c>
    </row>
    <row r="32" spans="1:22" x14ac:dyDescent="0.25">
      <c r="A32">
        <v>143</v>
      </c>
      <c r="B32" t="str">
        <f>CONCATENATE(N32,"_",O32)</f>
        <v>661064_6 months</v>
      </c>
      <c r="C32" t="s">
        <v>139</v>
      </c>
      <c r="D32">
        <v>10000</v>
      </c>
      <c r="E32">
        <v>0.37519999999999998</v>
      </c>
      <c r="F32">
        <v>7.0199999999999999E-2</v>
      </c>
      <c r="G32">
        <v>5.3199999999999997E-2</v>
      </c>
      <c r="H32">
        <v>7.2900000000000006E-2</v>
      </c>
      <c r="I32">
        <v>0.22140000000000001</v>
      </c>
      <c r="J32">
        <v>4.1500000000000002E-2</v>
      </c>
      <c r="K32">
        <v>0</v>
      </c>
      <c r="L32">
        <v>0.1656</v>
      </c>
      <c r="M32" t="s">
        <v>17</v>
      </c>
      <c r="N32">
        <v>661064</v>
      </c>
      <c r="O32" t="s">
        <v>217</v>
      </c>
      <c r="P32" t="s">
        <v>206</v>
      </c>
      <c r="Q32" t="s">
        <v>139</v>
      </c>
      <c r="R32">
        <v>661064</v>
      </c>
      <c r="S32">
        <v>11</v>
      </c>
      <c r="T32" t="s">
        <v>206</v>
      </c>
      <c r="U32">
        <v>12.188911704312099</v>
      </c>
      <c r="V32">
        <v>1</v>
      </c>
    </row>
    <row r="33" spans="1:22" x14ac:dyDescent="0.25">
      <c r="A33">
        <v>39</v>
      </c>
      <c r="B33" t="str">
        <f>CONCATENATE(N33,"_",O33)</f>
        <v>666821_6 months</v>
      </c>
      <c r="C33" t="s">
        <v>8</v>
      </c>
      <c r="D33">
        <v>10000</v>
      </c>
      <c r="E33">
        <v>0.33860000000000001</v>
      </c>
      <c r="F33">
        <v>3.6499999999999998E-2</v>
      </c>
      <c r="G33">
        <v>4.6300000000000001E-2</v>
      </c>
      <c r="H33">
        <v>9.69E-2</v>
      </c>
      <c r="I33">
        <v>0.2989</v>
      </c>
      <c r="J33">
        <v>1.9800000000000002E-2</v>
      </c>
      <c r="K33">
        <v>0</v>
      </c>
      <c r="L33">
        <v>0.16300000000000001</v>
      </c>
      <c r="M33" t="s">
        <v>17</v>
      </c>
      <c r="N33">
        <v>666821</v>
      </c>
      <c r="O33" t="s">
        <v>217</v>
      </c>
      <c r="P33" t="s">
        <v>206</v>
      </c>
      <c r="Q33" t="s">
        <v>8</v>
      </c>
      <c r="R33">
        <v>666821</v>
      </c>
      <c r="S33">
        <v>12</v>
      </c>
      <c r="T33" t="s">
        <v>206</v>
      </c>
      <c r="U33">
        <v>11.958932238193</v>
      </c>
      <c r="V33">
        <v>1</v>
      </c>
    </row>
    <row r="34" spans="1:22" x14ac:dyDescent="0.25">
      <c r="A34">
        <v>183</v>
      </c>
      <c r="B34" t="str">
        <f>CONCATENATE(N34,"_",O34)</f>
        <v>810421_6 months</v>
      </c>
      <c r="C34" t="s">
        <v>72</v>
      </c>
      <c r="D34">
        <v>10000</v>
      </c>
      <c r="E34">
        <v>0.19170000000000001</v>
      </c>
      <c r="F34">
        <v>0.1769</v>
      </c>
      <c r="G34">
        <v>1.26E-2</v>
      </c>
      <c r="H34">
        <v>0.29459999999999997</v>
      </c>
      <c r="I34">
        <v>0.1381</v>
      </c>
      <c r="J34">
        <v>2.6200000000000001E-2</v>
      </c>
      <c r="K34">
        <v>0</v>
      </c>
      <c r="L34">
        <v>0.15989999999999999</v>
      </c>
      <c r="M34" t="s">
        <v>17</v>
      </c>
      <c r="N34">
        <v>810421</v>
      </c>
      <c r="O34" t="s">
        <v>217</v>
      </c>
      <c r="P34" t="s">
        <v>206</v>
      </c>
      <c r="Q34" t="s">
        <v>72</v>
      </c>
      <c r="R34">
        <v>810421</v>
      </c>
      <c r="S34">
        <v>44</v>
      </c>
      <c r="T34" t="s">
        <v>206</v>
      </c>
      <c r="U34">
        <v>24.509240246406598</v>
      </c>
      <c r="V34">
        <v>0</v>
      </c>
    </row>
    <row r="35" spans="1:22" x14ac:dyDescent="0.25">
      <c r="A35">
        <v>52</v>
      </c>
      <c r="B35" t="str">
        <f>CONCATENATE(N35,"_",O35)</f>
        <v>802857_6 months</v>
      </c>
      <c r="C35" t="s">
        <v>104</v>
      </c>
      <c r="D35">
        <v>10000</v>
      </c>
      <c r="E35">
        <v>0.19689999999999999</v>
      </c>
      <c r="F35">
        <v>0.17380000000000001</v>
      </c>
      <c r="G35">
        <v>1.43E-2</v>
      </c>
      <c r="H35">
        <v>0.23769999999999999</v>
      </c>
      <c r="I35">
        <v>0.12939999999999999</v>
      </c>
      <c r="J35">
        <v>6.4600000000000005E-2</v>
      </c>
      <c r="K35">
        <v>2.3699999999999999E-2</v>
      </c>
      <c r="L35">
        <v>0.15959999999999999</v>
      </c>
      <c r="M35" t="s">
        <v>233</v>
      </c>
      <c r="N35">
        <v>802857</v>
      </c>
      <c r="O35" t="s">
        <v>217</v>
      </c>
      <c r="P35" t="s">
        <v>206</v>
      </c>
      <c r="Q35" t="s">
        <v>104</v>
      </c>
      <c r="R35">
        <v>802857</v>
      </c>
      <c r="S35">
        <v>45</v>
      </c>
      <c r="T35" t="s">
        <v>206</v>
      </c>
      <c r="U35">
        <v>72.049281314168397</v>
      </c>
      <c r="V35">
        <v>0</v>
      </c>
    </row>
    <row r="36" spans="1:22" x14ac:dyDescent="0.25">
      <c r="A36">
        <v>184</v>
      </c>
      <c r="B36" t="str">
        <f>CONCATENATE(N36,"_",O36)</f>
        <v>307044_3 months</v>
      </c>
      <c r="C36" t="s">
        <v>97</v>
      </c>
      <c r="D36">
        <v>9920</v>
      </c>
      <c r="E36">
        <v>0.42459999999999998</v>
      </c>
      <c r="F36">
        <v>4.1099999999999998E-2</v>
      </c>
      <c r="G36">
        <v>3.49E-2</v>
      </c>
      <c r="H36">
        <v>4.5400000000000003E-2</v>
      </c>
      <c r="I36">
        <v>0.26579999999999998</v>
      </c>
      <c r="J36">
        <v>3.1099999999999999E-2</v>
      </c>
      <c r="K36">
        <v>0</v>
      </c>
      <c r="L36">
        <v>0.15709999999999999</v>
      </c>
      <c r="M36" t="s">
        <v>17</v>
      </c>
      <c r="N36">
        <v>307044</v>
      </c>
      <c r="O36" t="s">
        <v>115</v>
      </c>
      <c r="P36" t="s">
        <v>206</v>
      </c>
      <c r="Q36" t="s">
        <v>97</v>
      </c>
      <c r="R36">
        <v>307044</v>
      </c>
      <c r="S36">
        <v>13</v>
      </c>
      <c r="T36" t="s">
        <v>206</v>
      </c>
      <c r="U36">
        <v>16.854209445585202</v>
      </c>
      <c r="V36">
        <v>0</v>
      </c>
    </row>
    <row r="37" spans="1:22" x14ac:dyDescent="0.25">
      <c r="A37">
        <v>203</v>
      </c>
      <c r="B37" t="str">
        <f>CONCATENATE(N37,"_",O37)</f>
        <v>954069_18 months</v>
      </c>
      <c r="C37" t="s">
        <v>31</v>
      </c>
      <c r="D37">
        <v>10000</v>
      </c>
      <c r="E37">
        <v>0.1424</v>
      </c>
      <c r="F37">
        <v>9.9000000000000005E-2</v>
      </c>
      <c r="G37">
        <v>4.1399999999999999E-2</v>
      </c>
      <c r="H37">
        <v>0.20610000000000001</v>
      </c>
      <c r="I37">
        <v>0.27079999999999999</v>
      </c>
      <c r="J37">
        <v>8.3799999999999999E-2</v>
      </c>
      <c r="K37">
        <v>0</v>
      </c>
      <c r="L37">
        <v>0.1565</v>
      </c>
      <c r="M37" t="s">
        <v>17</v>
      </c>
      <c r="N37">
        <v>954069</v>
      </c>
      <c r="O37" t="s">
        <v>32</v>
      </c>
      <c r="P37" t="s">
        <v>206</v>
      </c>
      <c r="Q37" t="s">
        <v>31</v>
      </c>
      <c r="R37">
        <v>954069</v>
      </c>
      <c r="S37">
        <v>41</v>
      </c>
      <c r="T37" t="s">
        <v>206</v>
      </c>
      <c r="U37">
        <v>24.410677618069801</v>
      </c>
      <c r="V37">
        <v>0</v>
      </c>
    </row>
    <row r="38" spans="1:22" x14ac:dyDescent="0.25">
      <c r="A38">
        <v>124</v>
      </c>
      <c r="B38" t="str">
        <f>CONCATENATE(N38,"_",O38)</f>
        <v>697933_3 months</v>
      </c>
      <c r="C38" t="s">
        <v>135</v>
      </c>
      <c r="D38">
        <v>10000</v>
      </c>
      <c r="E38">
        <v>0.49540000000000001</v>
      </c>
      <c r="F38">
        <v>7.4899999999999994E-2</v>
      </c>
      <c r="G38">
        <v>6.5000000000000002E-2</v>
      </c>
      <c r="H38">
        <v>6.9800000000000001E-2</v>
      </c>
      <c r="I38">
        <v>0.13059999999999999</v>
      </c>
      <c r="J38">
        <v>0</v>
      </c>
      <c r="K38">
        <v>1.2500000000000001E-2</v>
      </c>
      <c r="L38">
        <v>0.15179999999999999</v>
      </c>
      <c r="M38" t="s">
        <v>17</v>
      </c>
      <c r="N38">
        <v>697933</v>
      </c>
      <c r="O38" t="s">
        <v>115</v>
      </c>
      <c r="P38" t="s">
        <v>206</v>
      </c>
      <c r="Q38" t="s">
        <v>135</v>
      </c>
      <c r="R38">
        <v>697933</v>
      </c>
      <c r="S38">
        <v>15</v>
      </c>
      <c r="T38" t="s">
        <v>206</v>
      </c>
      <c r="U38">
        <v>36.271047227926097</v>
      </c>
      <c r="V38">
        <v>0</v>
      </c>
    </row>
    <row r="39" spans="1:22" x14ac:dyDescent="0.25">
      <c r="A39">
        <v>23</v>
      </c>
      <c r="B39" t="str">
        <f>CONCATENATE(N39,"_",O39)</f>
        <v>378864_Baseline</v>
      </c>
      <c r="C39" t="s">
        <v>48</v>
      </c>
      <c r="D39">
        <v>9947</v>
      </c>
      <c r="E39">
        <v>0.34260000000000002</v>
      </c>
      <c r="F39">
        <v>0</v>
      </c>
      <c r="G39">
        <v>0.1099</v>
      </c>
      <c r="H39">
        <v>0</v>
      </c>
      <c r="I39">
        <v>0.37509999999999999</v>
      </c>
      <c r="J39">
        <v>2.4500000000000001E-2</v>
      </c>
      <c r="K39">
        <v>0</v>
      </c>
      <c r="L39">
        <v>0.1479</v>
      </c>
      <c r="M39" t="s">
        <v>17</v>
      </c>
      <c r="N39">
        <v>378864</v>
      </c>
      <c r="O39" t="s">
        <v>100</v>
      </c>
      <c r="P39" t="s">
        <v>234</v>
      </c>
      <c r="Q39" t="s">
        <v>48</v>
      </c>
      <c r="R39">
        <v>378864</v>
      </c>
      <c r="S39">
        <v>12</v>
      </c>
      <c r="T39" t="s">
        <v>234</v>
      </c>
      <c r="U39">
        <v>3.1211498973306</v>
      </c>
      <c r="V39">
        <v>1</v>
      </c>
    </row>
    <row r="40" spans="1:22" x14ac:dyDescent="0.25">
      <c r="A40">
        <v>195</v>
      </c>
      <c r="B40" t="str">
        <f>CONCATENATE(N40,"_",O40)</f>
        <v>707645_18 months</v>
      </c>
      <c r="C40" t="s">
        <v>232</v>
      </c>
      <c r="D40">
        <v>10000</v>
      </c>
      <c r="E40">
        <v>0.3352</v>
      </c>
      <c r="F40">
        <v>3.8300000000000001E-2</v>
      </c>
      <c r="G40">
        <v>7.2700000000000001E-2</v>
      </c>
      <c r="H40">
        <v>0</v>
      </c>
      <c r="I40">
        <v>0.39269999999999999</v>
      </c>
      <c r="J40">
        <v>1.43E-2</v>
      </c>
      <c r="K40">
        <v>0</v>
      </c>
      <c r="L40">
        <v>0.14680000000000001</v>
      </c>
      <c r="M40" t="s">
        <v>17</v>
      </c>
      <c r="N40">
        <v>707645</v>
      </c>
      <c r="O40" t="s">
        <v>32</v>
      </c>
      <c r="P40" t="s">
        <v>234</v>
      </c>
      <c r="Q40" t="s">
        <v>232</v>
      </c>
      <c r="R40">
        <v>707645</v>
      </c>
      <c r="S40">
        <v>8</v>
      </c>
      <c r="T40" t="s">
        <v>234</v>
      </c>
      <c r="U40">
        <v>29.897330595482501</v>
      </c>
      <c r="V40">
        <v>0</v>
      </c>
    </row>
    <row r="41" spans="1:22" x14ac:dyDescent="0.25">
      <c r="A41">
        <v>153</v>
      </c>
      <c r="B41" t="str">
        <f>CONCATENATE(N41,"_",O41)</f>
        <v>455189_Baseline</v>
      </c>
      <c r="C41" t="s">
        <v>172</v>
      </c>
      <c r="D41">
        <v>9954</v>
      </c>
      <c r="E41">
        <v>0.31030000000000002</v>
      </c>
      <c r="F41">
        <v>0.13930000000000001</v>
      </c>
      <c r="G41">
        <v>0.16250000000000001</v>
      </c>
      <c r="H41">
        <v>8.7499999999999994E-2</v>
      </c>
      <c r="I41">
        <v>0.1023</v>
      </c>
      <c r="J41">
        <v>5.1499999999999997E-2</v>
      </c>
      <c r="K41">
        <v>0</v>
      </c>
      <c r="L41">
        <v>0.14649999999999999</v>
      </c>
      <c r="M41" t="s">
        <v>17</v>
      </c>
      <c r="N41">
        <v>455189</v>
      </c>
      <c r="O41" t="s">
        <v>100</v>
      </c>
      <c r="P41" t="s">
        <v>206</v>
      </c>
      <c r="Q41" t="s">
        <v>172</v>
      </c>
      <c r="R41">
        <v>455189</v>
      </c>
      <c r="S41">
        <v>31</v>
      </c>
      <c r="T41" t="s">
        <v>206</v>
      </c>
      <c r="U41">
        <v>25.133470225872699</v>
      </c>
      <c r="V41">
        <v>0</v>
      </c>
    </row>
    <row r="42" spans="1:22" x14ac:dyDescent="0.25">
      <c r="A42">
        <v>194</v>
      </c>
      <c r="B42" t="str">
        <f>CONCATENATE(N42,"_",O42)</f>
        <v>557085_6 months</v>
      </c>
      <c r="C42" t="s">
        <v>113</v>
      </c>
      <c r="D42">
        <v>9956</v>
      </c>
      <c r="E42">
        <v>0.36430000000000001</v>
      </c>
      <c r="F42">
        <v>0</v>
      </c>
      <c r="G42">
        <v>1.72E-2</v>
      </c>
      <c r="H42">
        <v>0</v>
      </c>
      <c r="I42">
        <v>0.38650000000000001</v>
      </c>
      <c r="J42">
        <v>9.1200000000000003E-2</v>
      </c>
      <c r="K42">
        <v>0</v>
      </c>
      <c r="L42">
        <v>0.14080000000000001</v>
      </c>
      <c r="M42" t="s">
        <v>17</v>
      </c>
      <c r="N42">
        <v>557085</v>
      </c>
      <c r="O42" t="s">
        <v>217</v>
      </c>
      <c r="P42" t="s">
        <v>234</v>
      </c>
      <c r="Q42" t="s">
        <v>113</v>
      </c>
      <c r="R42">
        <v>557085</v>
      </c>
      <c r="S42">
        <v>9</v>
      </c>
      <c r="T42" t="s">
        <v>234</v>
      </c>
      <c r="U42">
        <v>17.5770020533881</v>
      </c>
      <c r="V42">
        <v>0</v>
      </c>
    </row>
    <row r="43" spans="1:22" x14ac:dyDescent="0.25">
      <c r="A43">
        <v>48</v>
      </c>
      <c r="B43" t="str">
        <f>CONCATENATE(N43,"_",O43)</f>
        <v>378864_6 months</v>
      </c>
      <c r="C43" t="s">
        <v>210</v>
      </c>
      <c r="D43">
        <v>10000</v>
      </c>
      <c r="E43">
        <v>0.40689999999999998</v>
      </c>
      <c r="F43">
        <v>0</v>
      </c>
      <c r="G43">
        <v>7.9200000000000007E-2</v>
      </c>
      <c r="H43">
        <v>3.1300000000000001E-2</v>
      </c>
      <c r="I43">
        <v>0.32429999999999998</v>
      </c>
      <c r="J43">
        <v>1.77E-2</v>
      </c>
      <c r="K43">
        <v>0</v>
      </c>
      <c r="L43">
        <v>0.1406</v>
      </c>
      <c r="M43" t="s">
        <v>17</v>
      </c>
      <c r="N43">
        <v>378864</v>
      </c>
      <c r="O43" t="s">
        <v>217</v>
      </c>
      <c r="P43" t="s">
        <v>234</v>
      </c>
      <c r="Q43" t="s">
        <v>210</v>
      </c>
      <c r="R43">
        <v>378864</v>
      </c>
      <c r="S43">
        <v>12</v>
      </c>
      <c r="T43" t="s">
        <v>234</v>
      </c>
      <c r="U43">
        <v>3.1211498973306</v>
      </c>
      <c r="V43">
        <v>1</v>
      </c>
    </row>
    <row r="44" spans="1:22" x14ac:dyDescent="0.25">
      <c r="A44">
        <v>136</v>
      </c>
      <c r="B44" t="str">
        <f>CONCATENATE(N44,"_",O44)</f>
        <v>697933_6 months</v>
      </c>
      <c r="C44" t="s">
        <v>226</v>
      </c>
      <c r="D44">
        <v>10000</v>
      </c>
      <c r="E44">
        <v>0.43569999999999998</v>
      </c>
      <c r="F44">
        <v>1.8800000000000001E-2</v>
      </c>
      <c r="G44">
        <v>7.1099999999999997E-2</v>
      </c>
      <c r="H44">
        <v>0.12180000000000001</v>
      </c>
      <c r="I44">
        <v>0.2165</v>
      </c>
      <c r="J44">
        <v>0</v>
      </c>
      <c r="K44">
        <v>0</v>
      </c>
      <c r="L44">
        <v>0.1361</v>
      </c>
      <c r="M44" t="s">
        <v>17</v>
      </c>
      <c r="N44">
        <v>697933</v>
      </c>
      <c r="O44" t="s">
        <v>217</v>
      </c>
      <c r="P44" t="s">
        <v>206</v>
      </c>
      <c r="Q44" t="s">
        <v>226</v>
      </c>
      <c r="R44">
        <v>697933</v>
      </c>
      <c r="S44">
        <v>15</v>
      </c>
      <c r="T44" t="s">
        <v>206</v>
      </c>
      <c r="U44">
        <v>36.271047227926097</v>
      </c>
      <c r="V44">
        <v>0</v>
      </c>
    </row>
    <row r="45" spans="1:22" x14ac:dyDescent="0.25">
      <c r="A45">
        <v>156</v>
      </c>
      <c r="B45" t="str">
        <f>CONCATENATE(N45,"_",O45)</f>
        <v>404154_3 months</v>
      </c>
      <c r="C45" t="s">
        <v>215</v>
      </c>
      <c r="D45">
        <v>10000</v>
      </c>
      <c r="E45">
        <v>0.33460000000000001</v>
      </c>
      <c r="F45">
        <v>8.5000000000000006E-2</v>
      </c>
      <c r="G45">
        <v>6.3799999999999996E-2</v>
      </c>
      <c r="H45">
        <v>2.1600000000000001E-2</v>
      </c>
      <c r="I45">
        <v>0.30180000000000001</v>
      </c>
      <c r="J45">
        <v>5.8099999999999999E-2</v>
      </c>
      <c r="K45">
        <v>0</v>
      </c>
      <c r="L45">
        <v>0.1351</v>
      </c>
      <c r="M45" t="s">
        <v>233</v>
      </c>
      <c r="N45">
        <v>404154</v>
      </c>
      <c r="O45" t="s">
        <v>115</v>
      </c>
      <c r="P45" t="s">
        <v>234</v>
      </c>
      <c r="Q45" t="s">
        <v>215</v>
      </c>
      <c r="R45">
        <v>404154</v>
      </c>
      <c r="S45">
        <v>12</v>
      </c>
      <c r="T45" t="s">
        <v>234</v>
      </c>
      <c r="U45">
        <v>2.43121149897331</v>
      </c>
      <c r="V45">
        <v>1</v>
      </c>
    </row>
    <row r="46" spans="1:22" x14ac:dyDescent="0.25">
      <c r="A46">
        <v>138</v>
      </c>
      <c r="B46" t="str">
        <f>CONCATENATE(N46,"_",O46)</f>
        <v>872759_3 months</v>
      </c>
      <c r="C46" t="s">
        <v>138</v>
      </c>
      <c r="D46">
        <v>10000</v>
      </c>
      <c r="E46">
        <v>0.37159999999999999</v>
      </c>
      <c r="F46">
        <v>0</v>
      </c>
      <c r="G46">
        <v>7.3099999999999998E-2</v>
      </c>
      <c r="H46">
        <v>7.6200000000000004E-2</v>
      </c>
      <c r="I46">
        <v>0.27079999999999999</v>
      </c>
      <c r="J46">
        <v>5.5899999999999998E-2</v>
      </c>
      <c r="K46">
        <v>1.84E-2</v>
      </c>
      <c r="L46">
        <v>0.13400000000000001</v>
      </c>
      <c r="M46" t="s">
        <v>17</v>
      </c>
      <c r="N46">
        <v>872759</v>
      </c>
      <c r="O46" t="s">
        <v>115</v>
      </c>
      <c r="P46" t="s">
        <v>206</v>
      </c>
      <c r="Q46" t="s">
        <v>138</v>
      </c>
      <c r="R46">
        <v>872759</v>
      </c>
      <c r="S46">
        <v>9</v>
      </c>
      <c r="T46" t="s">
        <v>206</v>
      </c>
      <c r="U46">
        <v>30.751540041067798</v>
      </c>
      <c r="V46">
        <v>0</v>
      </c>
    </row>
    <row r="47" spans="1:22" x14ac:dyDescent="0.25">
      <c r="A47">
        <v>139</v>
      </c>
      <c r="B47" t="str">
        <f>CONCATENATE(N47,"_",O47)</f>
        <v>707645_Baseline</v>
      </c>
      <c r="C47" t="s">
        <v>227</v>
      </c>
      <c r="D47">
        <v>10000</v>
      </c>
      <c r="E47">
        <v>0.33650000000000002</v>
      </c>
      <c r="F47">
        <v>2.6599999999999999E-2</v>
      </c>
      <c r="G47">
        <v>7.6700000000000004E-2</v>
      </c>
      <c r="H47">
        <v>3.5900000000000001E-2</v>
      </c>
      <c r="I47">
        <v>0.39090000000000003</v>
      </c>
      <c r="J47">
        <v>0</v>
      </c>
      <c r="K47">
        <v>0</v>
      </c>
      <c r="L47">
        <v>0.13339999999999999</v>
      </c>
      <c r="M47" t="s">
        <v>17</v>
      </c>
      <c r="N47">
        <v>707645</v>
      </c>
      <c r="O47" t="s">
        <v>100</v>
      </c>
      <c r="P47" t="s">
        <v>234</v>
      </c>
      <c r="Q47" t="s">
        <v>227</v>
      </c>
      <c r="R47">
        <v>707645</v>
      </c>
      <c r="S47">
        <v>8</v>
      </c>
      <c r="T47" t="s">
        <v>234</v>
      </c>
      <c r="U47">
        <v>29.897330595482501</v>
      </c>
      <c r="V47">
        <v>0</v>
      </c>
    </row>
    <row r="48" spans="1:22" x14ac:dyDescent="0.25">
      <c r="A48">
        <v>89</v>
      </c>
      <c r="B48" t="str">
        <f>CONCATENATE(N48,"_",O48)</f>
        <v>690566_6 months</v>
      </c>
      <c r="C48" t="s">
        <v>151</v>
      </c>
      <c r="D48">
        <v>10000</v>
      </c>
      <c r="E48">
        <v>0.36370000000000002</v>
      </c>
      <c r="F48">
        <v>0</v>
      </c>
      <c r="G48">
        <v>6.54E-2</v>
      </c>
      <c r="H48">
        <v>9.9900000000000003E-2</v>
      </c>
      <c r="I48">
        <v>0.30480000000000002</v>
      </c>
      <c r="J48">
        <v>3.3599999999999998E-2</v>
      </c>
      <c r="K48">
        <v>0</v>
      </c>
      <c r="L48">
        <v>0.1326</v>
      </c>
      <c r="M48" t="s">
        <v>233</v>
      </c>
      <c r="N48">
        <v>690566</v>
      </c>
      <c r="O48" t="s">
        <v>217</v>
      </c>
      <c r="P48" t="s">
        <v>234</v>
      </c>
      <c r="Q48" t="s">
        <v>151</v>
      </c>
      <c r="R48">
        <v>690566</v>
      </c>
      <c r="S48">
        <v>13</v>
      </c>
      <c r="T48" t="s">
        <v>234</v>
      </c>
      <c r="U48">
        <v>11.860369609856299</v>
      </c>
      <c r="V48">
        <v>1</v>
      </c>
    </row>
    <row r="49" spans="1:22" x14ac:dyDescent="0.25">
      <c r="A49">
        <v>19</v>
      </c>
      <c r="B49" t="str">
        <f>CONCATENATE(N49,"_",O49)</f>
        <v>666821_Baseline</v>
      </c>
      <c r="C49" t="s">
        <v>5</v>
      </c>
      <c r="D49">
        <v>10000</v>
      </c>
      <c r="E49">
        <v>0.34499999999999997</v>
      </c>
      <c r="F49">
        <v>5.74E-2</v>
      </c>
      <c r="G49">
        <v>3.6999999999999998E-2</v>
      </c>
      <c r="H49">
        <v>8.1699999999999995E-2</v>
      </c>
      <c r="I49">
        <v>0.28320000000000001</v>
      </c>
      <c r="J49">
        <v>6.3299999999999995E-2</v>
      </c>
      <c r="K49">
        <v>0</v>
      </c>
      <c r="L49">
        <v>0.13239999999999999</v>
      </c>
      <c r="M49" t="s">
        <v>17</v>
      </c>
      <c r="N49">
        <v>666821</v>
      </c>
      <c r="O49" t="s">
        <v>100</v>
      </c>
      <c r="P49" t="s">
        <v>206</v>
      </c>
      <c r="Q49" t="s">
        <v>5</v>
      </c>
      <c r="R49">
        <v>666821</v>
      </c>
      <c r="S49">
        <v>12</v>
      </c>
      <c r="T49" t="s">
        <v>206</v>
      </c>
      <c r="U49">
        <v>11.958932238193</v>
      </c>
      <c r="V49">
        <v>1</v>
      </c>
    </row>
    <row r="50" spans="1:22" x14ac:dyDescent="0.25">
      <c r="A50">
        <v>127</v>
      </c>
      <c r="B50" t="str">
        <f>CONCATENATE(N50,"_",O50)</f>
        <v>872759_Baseline</v>
      </c>
      <c r="C50" t="s">
        <v>212</v>
      </c>
      <c r="D50">
        <v>10000</v>
      </c>
      <c r="E50">
        <v>0.38840000000000002</v>
      </c>
      <c r="F50">
        <v>6.8099999999999994E-2</v>
      </c>
      <c r="G50">
        <v>5.7099999999999998E-2</v>
      </c>
      <c r="H50">
        <v>9.0499999999999997E-2</v>
      </c>
      <c r="I50">
        <v>0.26600000000000001</v>
      </c>
      <c r="J50">
        <v>0</v>
      </c>
      <c r="K50">
        <v>0</v>
      </c>
      <c r="L50">
        <v>0.12989999999999999</v>
      </c>
      <c r="M50" t="s">
        <v>17</v>
      </c>
      <c r="N50">
        <v>872759</v>
      </c>
      <c r="O50" t="s">
        <v>100</v>
      </c>
      <c r="P50" t="s">
        <v>206</v>
      </c>
      <c r="Q50" t="s">
        <v>212</v>
      </c>
      <c r="R50">
        <v>872759</v>
      </c>
      <c r="S50">
        <v>9</v>
      </c>
      <c r="T50" t="s">
        <v>206</v>
      </c>
      <c r="U50">
        <v>30.751540041067798</v>
      </c>
      <c r="V50">
        <v>0</v>
      </c>
    </row>
    <row r="51" spans="1:22" x14ac:dyDescent="0.25">
      <c r="A51">
        <v>122</v>
      </c>
      <c r="B51" t="str">
        <f>CONCATENATE(N51,"_",O51)</f>
        <v>865454_6 months</v>
      </c>
      <c r="C51" t="s">
        <v>197</v>
      </c>
      <c r="D51">
        <v>9906</v>
      </c>
      <c r="E51">
        <v>0.4304</v>
      </c>
      <c r="F51">
        <v>7.46E-2</v>
      </c>
      <c r="G51">
        <v>7.2499999999999995E-2</v>
      </c>
      <c r="H51">
        <v>8.0100000000000005E-2</v>
      </c>
      <c r="I51">
        <v>0.1961</v>
      </c>
      <c r="J51">
        <v>1.67E-2</v>
      </c>
      <c r="K51">
        <v>0</v>
      </c>
      <c r="L51">
        <v>0.12959999999999999</v>
      </c>
      <c r="M51" t="s">
        <v>17</v>
      </c>
      <c r="N51">
        <v>865454</v>
      </c>
      <c r="O51" t="s">
        <v>217</v>
      </c>
      <c r="P51" t="s">
        <v>206</v>
      </c>
      <c r="Q51" t="s">
        <v>197</v>
      </c>
      <c r="R51">
        <v>865454</v>
      </c>
      <c r="S51">
        <v>9</v>
      </c>
      <c r="T51" t="s">
        <v>206</v>
      </c>
      <c r="U51">
        <v>33.445585215605703</v>
      </c>
      <c r="V51">
        <v>1</v>
      </c>
    </row>
    <row r="52" spans="1:22" x14ac:dyDescent="0.25">
      <c r="A52">
        <v>196</v>
      </c>
      <c r="B52" t="str">
        <f>CONCATENATE(N52,"_",O52)</f>
        <v>546758_18 months</v>
      </c>
      <c r="C52" t="s">
        <v>73</v>
      </c>
      <c r="D52">
        <v>10000</v>
      </c>
      <c r="E52">
        <v>0.31769999999999998</v>
      </c>
      <c r="F52">
        <v>5.0999999999999997E-2</v>
      </c>
      <c r="G52">
        <v>3.2899999999999999E-2</v>
      </c>
      <c r="H52">
        <v>2.1999999999999999E-2</v>
      </c>
      <c r="I52">
        <v>0.40579999999999999</v>
      </c>
      <c r="J52">
        <v>4.2799999999999998E-2</v>
      </c>
      <c r="K52">
        <v>0</v>
      </c>
      <c r="L52">
        <v>0.1278</v>
      </c>
      <c r="M52" t="s">
        <v>233</v>
      </c>
      <c r="N52">
        <v>546758</v>
      </c>
      <c r="O52" t="s">
        <v>32</v>
      </c>
      <c r="P52" t="s">
        <v>206</v>
      </c>
      <c r="Q52" t="s">
        <v>73</v>
      </c>
      <c r="R52">
        <v>546758</v>
      </c>
      <c r="S52">
        <v>8</v>
      </c>
      <c r="T52" t="s">
        <v>206</v>
      </c>
      <c r="U52">
        <v>30.258726899384001</v>
      </c>
      <c r="V52">
        <v>0</v>
      </c>
    </row>
    <row r="53" spans="1:22" x14ac:dyDescent="0.25">
      <c r="A53">
        <v>33</v>
      </c>
      <c r="B53" t="str">
        <f>CONCATENATE(N53,"_",O53)</f>
        <v>451019_Baseline</v>
      </c>
      <c r="C53" t="s">
        <v>37</v>
      </c>
      <c r="D53">
        <v>10000</v>
      </c>
      <c r="E53">
        <v>0.19989999999999999</v>
      </c>
      <c r="F53">
        <v>0.12870000000000001</v>
      </c>
      <c r="G53">
        <v>0.18759999999999999</v>
      </c>
      <c r="H53">
        <v>8.1299999999999997E-2</v>
      </c>
      <c r="I53">
        <v>0.20699999999999999</v>
      </c>
      <c r="J53">
        <v>6.7900000000000002E-2</v>
      </c>
      <c r="K53">
        <v>0</v>
      </c>
      <c r="L53">
        <v>0.12759999999999999</v>
      </c>
      <c r="M53" t="s">
        <v>17</v>
      </c>
      <c r="N53">
        <v>451019</v>
      </c>
      <c r="O53" t="s">
        <v>100</v>
      </c>
      <c r="P53" t="s">
        <v>234</v>
      </c>
      <c r="Q53" t="s">
        <v>37</v>
      </c>
      <c r="R53">
        <v>451019</v>
      </c>
      <c r="S53">
        <v>39</v>
      </c>
      <c r="T53" t="s">
        <v>234</v>
      </c>
      <c r="U53">
        <v>59.6960985626283</v>
      </c>
      <c r="V53">
        <v>1</v>
      </c>
    </row>
    <row r="54" spans="1:22" x14ac:dyDescent="0.25">
      <c r="A54">
        <v>155</v>
      </c>
      <c r="B54" t="str">
        <f>CONCATENATE(N54,"_",O54)</f>
        <v>707645_6 months</v>
      </c>
      <c r="C54" t="s">
        <v>228</v>
      </c>
      <c r="D54">
        <v>10000</v>
      </c>
      <c r="E54">
        <v>0.34310000000000002</v>
      </c>
      <c r="F54">
        <v>6.7900000000000002E-2</v>
      </c>
      <c r="G54">
        <v>7.2499999999999995E-2</v>
      </c>
      <c r="H54">
        <v>0</v>
      </c>
      <c r="I54">
        <v>0.37140000000000001</v>
      </c>
      <c r="J54">
        <v>1.95E-2</v>
      </c>
      <c r="K54">
        <v>0</v>
      </c>
      <c r="L54">
        <v>0.12559999999999999</v>
      </c>
      <c r="M54" t="s">
        <v>17</v>
      </c>
      <c r="N54">
        <v>707645</v>
      </c>
      <c r="O54" t="s">
        <v>217</v>
      </c>
      <c r="P54" t="s">
        <v>234</v>
      </c>
      <c r="Q54" t="s">
        <v>228</v>
      </c>
      <c r="R54">
        <v>707645</v>
      </c>
      <c r="S54">
        <v>8</v>
      </c>
      <c r="T54" t="s">
        <v>234</v>
      </c>
      <c r="U54">
        <v>29.897330595482501</v>
      </c>
      <c r="V54">
        <v>0</v>
      </c>
    </row>
    <row r="55" spans="1:22" x14ac:dyDescent="0.25">
      <c r="A55">
        <v>148</v>
      </c>
      <c r="B55" t="str">
        <f>CONCATENATE(N55,"_",O55)</f>
        <v>707645_3 months</v>
      </c>
      <c r="C55" t="s">
        <v>93</v>
      </c>
      <c r="D55">
        <v>10000</v>
      </c>
      <c r="E55">
        <v>0.378</v>
      </c>
      <c r="F55">
        <v>3.5499999999999997E-2</v>
      </c>
      <c r="G55">
        <v>7.0800000000000002E-2</v>
      </c>
      <c r="H55">
        <v>0</v>
      </c>
      <c r="I55">
        <v>0.34360000000000002</v>
      </c>
      <c r="J55">
        <v>3.1899999999999998E-2</v>
      </c>
      <c r="K55">
        <v>1.8599999999999998E-2</v>
      </c>
      <c r="L55">
        <v>0.1216</v>
      </c>
      <c r="M55" t="s">
        <v>17</v>
      </c>
      <c r="N55">
        <v>707645</v>
      </c>
      <c r="O55" t="s">
        <v>115</v>
      </c>
      <c r="P55" t="s">
        <v>234</v>
      </c>
      <c r="Q55" t="s">
        <v>93</v>
      </c>
      <c r="R55">
        <v>707645</v>
      </c>
      <c r="S55">
        <v>8</v>
      </c>
      <c r="T55" t="s">
        <v>234</v>
      </c>
      <c r="U55">
        <v>29.897330595482501</v>
      </c>
      <c r="V55">
        <v>0</v>
      </c>
    </row>
    <row r="56" spans="1:22" x14ac:dyDescent="0.25">
      <c r="A56">
        <v>207</v>
      </c>
      <c r="B56" t="str">
        <f>CONCATENATE(N56,"_",O56)</f>
        <v>308094_18 months</v>
      </c>
      <c r="C56" t="s">
        <v>114</v>
      </c>
      <c r="D56">
        <v>10000</v>
      </c>
      <c r="E56">
        <v>0.26540000000000002</v>
      </c>
      <c r="F56">
        <v>0.1197</v>
      </c>
      <c r="G56">
        <v>4.2299999999999997E-2</v>
      </c>
      <c r="H56">
        <v>9.8400000000000001E-2</v>
      </c>
      <c r="I56">
        <v>0.25359999999999999</v>
      </c>
      <c r="J56">
        <v>0.1</v>
      </c>
      <c r="K56">
        <v>0</v>
      </c>
      <c r="L56">
        <v>0.1206</v>
      </c>
      <c r="M56" t="s">
        <v>17</v>
      </c>
      <c r="N56">
        <v>308094</v>
      </c>
      <c r="O56" t="s">
        <v>32</v>
      </c>
      <c r="P56" t="s">
        <v>206</v>
      </c>
      <c r="Q56" t="s">
        <v>114</v>
      </c>
      <c r="R56">
        <v>308094</v>
      </c>
      <c r="S56">
        <v>10</v>
      </c>
      <c r="T56" t="s">
        <v>206</v>
      </c>
      <c r="U56">
        <v>21.618069815195099</v>
      </c>
      <c r="V56">
        <v>0</v>
      </c>
    </row>
    <row r="57" spans="1:22" x14ac:dyDescent="0.25">
      <c r="A57">
        <v>28</v>
      </c>
      <c r="B57" t="str">
        <f>CONCATENATE(N57,"_",O57)</f>
        <v>666821_3 months</v>
      </c>
      <c r="C57" t="s">
        <v>20</v>
      </c>
      <c r="D57">
        <v>10000</v>
      </c>
      <c r="E57">
        <v>0.32379999999999998</v>
      </c>
      <c r="F57">
        <v>0</v>
      </c>
      <c r="G57">
        <v>0.05</v>
      </c>
      <c r="H57">
        <v>0.1079</v>
      </c>
      <c r="I57">
        <v>0.37590000000000001</v>
      </c>
      <c r="J57">
        <v>2.2499999999999999E-2</v>
      </c>
      <c r="K57">
        <v>0</v>
      </c>
      <c r="L57">
        <v>0.11990000000000001</v>
      </c>
      <c r="M57" t="s">
        <v>17</v>
      </c>
      <c r="N57">
        <v>666821</v>
      </c>
      <c r="O57" t="s">
        <v>115</v>
      </c>
      <c r="P57" t="s">
        <v>206</v>
      </c>
      <c r="Q57" t="s">
        <v>20</v>
      </c>
      <c r="R57">
        <v>666821</v>
      </c>
      <c r="S57">
        <v>12</v>
      </c>
      <c r="T57" t="s">
        <v>206</v>
      </c>
      <c r="U57">
        <v>11.958932238193</v>
      </c>
      <c r="V57">
        <v>1</v>
      </c>
    </row>
    <row r="58" spans="1:22" x14ac:dyDescent="0.25">
      <c r="A58">
        <v>78</v>
      </c>
      <c r="B58" t="str">
        <f>CONCATENATE(N58,"_",O58)</f>
        <v>374602_Baseline</v>
      </c>
      <c r="C58" t="s">
        <v>168</v>
      </c>
      <c r="D58">
        <v>10000</v>
      </c>
      <c r="E58">
        <v>0.439</v>
      </c>
      <c r="F58">
        <v>6.1899999999999997E-2</v>
      </c>
      <c r="G58">
        <v>0.154</v>
      </c>
      <c r="H58">
        <v>7.2800000000000004E-2</v>
      </c>
      <c r="I58">
        <v>0.15279999999999999</v>
      </c>
      <c r="J58">
        <v>0</v>
      </c>
      <c r="K58">
        <v>0</v>
      </c>
      <c r="L58">
        <v>0.1195</v>
      </c>
      <c r="M58" t="s">
        <v>17</v>
      </c>
      <c r="N58">
        <v>374602</v>
      </c>
      <c r="O58" t="s">
        <v>100</v>
      </c>
      <c r="P58" t="s">
        <v>234</v>
      </c>
      <c r="Q58" t="s">
        <v>168</v>
      </c>
      <c r="R58">
        <v>374602</v>
      </c>
      <c r="S58">
        <v>11</v>
      </c>
      <c r="T58" t="s">
        <v>234</v>
      </c>
      <c r="U58">
        <v>5.3552361396303896</v>
      </c>
      <c r="V58">
        <v>1</v>
      </c>
    </row>
    <row r="59" spans="1:22" x14ac:dyDescent="0.25">
      <c r="A59">
        <v>92</v>
      </c>
      <c r="B59" t="str">
        <f>CONCATENATE(N59,"_",O59)</f>
        <v>224910_Baseline</v>
      </c>
      <c r="C59" t="s">
        <v>196</v>
      </c>
      <c r="D59">
        <v>10000</v>
      </c>
      <c r="E59">
        <v>0.28670000000000001</v>
      </c>
      <c r="F59">
        <v>8.4000000000000005E-2</v>
      </c>
      <c r="G59">
        <v>0.155</v>
      </c>
      <c r="H59">
        <v>9.2700000000000005E-2</v>
      </c>
      <c r="I59">
        <v>0.2102</v>
      </c>
      <c r="J59">
        <v>5.1900000000000002E-2</v>
      </c>
      <c r="K59">
        <v>0</v>
      </c>
      <c r="L59">
        <v>0.1195</v>
      </c>
      <c r="M59" t="s">
        <v>17</v>
      </c>
      <c r="N59">
        <v>224910</v>
      </c>
      <c r="O59" t="s">
        <v>100</v>
      </c>
      <c r="P59" t="s">
        <v>206</v>
      </c>
      <c r="Q59" t="s">
        <v>196</v>
      </c>
      <c r="R59">
        <v>224910</v>
      </c>
      <c r="S59">
        <v>23</v>
      </c>
      <c r="T59" t="s">
        <v>206</v>
      </c>
      <c r="U59">
        <v>18.661190965092398</v>
      </c>
      <c r="V59">
        <v>1</v>
      </c>
    </row>
    <row r="60" spans="1:22" x14ac:dyDescent="0.25">
      <c r="A60">
        <v>24</v>
      </c>
      <c r="B60" t="str">
        <f>CONCATENATE(N60,"_",O60)</f>
        <v>886154_3 months</v>
      </c>
      <c r="C60" t="s">
        <v>77</v>
      </c>
      <c r="D60">
        <v>9938</v>
      </c>
      <c r="E60">
        <v>0.31480000000000002</v>
      </c>
      <c r="F60">
        <v>0</v>
      </c>
      <c r="G60">
        <v>0.1202</v>
      </c>
      <c r="H60">
        <v>2.01E-2</v>
      </c>
      <c r="I60">
        <v>0.37880000000000003</v>
      </c>
      <c r="J60">
        <v>4.6699999999999998E-2</v>
      </c>
      <c r="K60">
        <v>0</v>
      </c>
      <c r="L60">
        <v>0.1193</v>
      </c>
      <c r="M60" t="s">
        <v>17</v>
      </c>
      <c r="N60">
        <v>886154</v>
      </c>
      <c r="O60" t="s">
        <v>115</v>
      </c>
      <c r="P60" t="s">
        <v>234</v>
      </c>
      <c r="Q60" t="s">
        <v>77</v>
      </c>
      <c r="R60">
        <v>886154</v>
      </c>
      <c r="S60">
        <v>16</v>
      </c>
      <c r="T60" t="s">
        <v>234</v>
      </c>
      <c r="U60">
        <v>42.349075975359298</v>
      </c>
      <c r="V60">
        <v>1</v>
      </c>
    </row>
    <row r="61" spans="1:22" x14ac:dyDescent="0.25">
      <c r="A61">
        <v>171</v>
      </c>
      <c r="B61" t="str">
        <f>CONCATENATE(N61,"_",O61)</f>
        <v>308094_Baseline</v>
      </c>
      <c r="C61" t="s">
        <v>28</v>
      </c>
      <c r="D61">
        <v>10000</v>
      </c>
      <c r="E61">
        <v>0.3206</v>
      </c>
      <c r="F61">
        <v>7.9299999999999995E-2</v>
      </c>
      <c r="G61">
        <v>4.3700000000000003E-2</v>
      </c>
      <c r="H61">
        <v>8.3299999999999999E-2</v>
      </c>
      <c r="I61">
        <v>0.24399999999999999</v>
      </c>
      <c r="J61">
        <v>0.1114</v>
      </c>
      <c r="K61">
        <v>0</v>
      </c>
      <c r="L61">
        <v>0.1177</v>
      </c>
      <c r="M61" t="s">
        <v>17</v>
      </c>
      <c r="N61">
        <v>308094</v>
      </c>
      <c r="O61" t="s">
        <v>100</v>
      </c>
      <c r="P61" t="s">
        <v>206</v>
      </c>
      <c r="Q61" t="s">
        <v>28</v>
      </c>
      <c r="R61">
        <v>308094</v>
      </c>
      <c r="S61">
        <v>10</v>
      </c>
      <c r="T61" t="s">
        <v>206</v>
      </c>
      <c r="U61">
        <v>21.618069815195099</v>
      </c>
      <c r="V61">
        <v>0</v>
      </c>
    </row>
    <row r="62" spans="1:22" x14ac:dyDescent="0.25">
      <c r="A62">
        <v>20</v>
      </c>
      <c r="B62" t="str">
        <f>CONCATENATE(N62,"_",O62)</f>
        <v>830318_Baseline</v>
      </c>
      <c r="C62" t="s">
        <v>144</v>
      </c>
      <c r="D62">
        <v>10000</v>
      </c>
      <c r="E62">
        <v>0.14860000000000001</v>
      </c>
      <c r="F62">
        <v>0.1042</v>
      </c>
      <c r="G62">
        <v>0.1234</v>
      </c>
      <c r="H62">
        <v>0.26150000000000001</v>
      </c>
      <c r="I62">
        <v>0.156</v>
      </c>
      <c r="J62">
        <v>7.8100000000000003E-2</v>
      </c>
      <c r="K62">
        <v>1.12E-2</v>
      </c>
      <c r="L62">
        <v>0.11700000000000001</v>
      </c>
      <c r="M62" t="s">
        <v>17</v>
      </c>
      <c r="N62">
        <v>830318</v>
      </c>
      <c r="O62" t="s">
        <v>100</v>
      </c>
      <c r="P62" t="s">
        <v>234</v>
      </c>
      <c r="Q62" t="s">
        <v>144</v>
      </c>
      <c r="R62">
        <v>830318</v>
      </c>
      <c r="S62">
        <v>15</v>
      </c>
      <c r="T62" t="s">
        <v>234</v>
      </c>
      <c r="U62">
        <v>12.1560574948665</v>
      </c>
      <c r="V62">
        <v>1</v>
      </c>
    </row>
    <row r="63" spans="1:22" x14ac:dyDescent="0.25">
      <c r="A63">
        <v>160</v>
      </c>
      <c r="B63" t="str">
        <f>CONCATENATE(N63,"_",O63)</f>
        <v>810421_Baseline</v>
      </c>
      <c r="C63" t="s">
        <v>173</v>
      </c>
      <c r="D63">
        <v>10000</v>
      </c>
      <c r="E63">
        <v>0.33850000000000002</v>
      </c>
      <c r="F63">
        <v>0.12839999999999999</v>
      </c>
      <c r="G63">
        <v>1.55E-2</v>
      </c>
      <c r="H63">
        <v>0.2172</v>
      </c>
      <c r="I63">
        <v>0.18340000000000001</v>
      </c>
      <c r="J63">
        <v>0</v>
      </c>
      <c r="K63">
        <v>0</v>
      </c>
      <c r="L63">
        <v>0.11700000000000001</v>
      </c>
      <c r="M63" t="s">
        <v>17</v>
      </c>
      <c r="N63">
        <v>810421</v>
      </c>
      <c r="O63" t="s">
        <v>100</v>
      </c>
      <c r="P63" t="s">
        <v>206</v>
      </c>
      <c r="Q63" t="s">
        <v>173</v>
      </c>
      <c r="R63">
        <v>810421</v>
      </c>
      <c r="S63">
        <v>44</v>
      </c>
      <c r="T63" t="s">
        <v>206</v>
      </c>
      <c r="U63">
        <v>24.509240246406598</v>
      </c>
      <c r="V63">
        <v>0</v>
      </c>
    </row>
    <row r="64" spans="1:22" x14ac:dyDescent="0.25">
      <c r="A64">
        <v>73</v>
      </c>
      <c r="B64" t="str">
        <f>CONCATENATE(N64,"_",O64)</f>
        <v>830318_18 months</v>
      </c>
      <c r="C64" t="s">
        <v>64</v>
      </c>
      <c r="D64">
        <v>10000</v>
      </c>
      <c r="E64">
        <v>0.1244</v>
      </c>
      <c r="F64">
        <v>0.20280000000000001</v>
      </c>
      <c r="G64">
        <v>7.9899999999999999E-2</v>
      </c>
      <c r="H64">
        <v>0.22589999999999999</v>
      </c>
      <c r="I64">
        <v>0.18820000000000001</v>
      </c>
      <c r="J64">
        <v>4.5999999999999999E-2</v>
      </c>
      <c r="K64">
        <v>1.6299999999999999E-2</v>
      </c>
      <c r="L64">
        <v>0.11650000000000001</v>
      </c>
      <c r="M64" t="s">
        <v>17</v>
      </c>
      <c r="N64">
        <v>830318</v>
      </c>
      <c r="O64" t="s">
        <v>32</v>
      </c>
      <c r="P64" t="s">
        <v>234</v>
      </c>
      <c r="Q64" t="s">
        <v>64</v>
      </c>
      <c r="R64">
        <v>830318</v>
      </c>
      <c r="S64">
        <v>15</v>
      </c>
      <c r="T64" t="s">
        <v>234</v>
      </c>
      <c r="U64">
        <v>12.1560574948665</v>
      </c>
      <c r="V64">
        <v>1</v>
      </c>
    </row>
    <row r="65" spans="1:22" x14ac:dyDescent="0.25">
      <c r="A65">
        <v>182</v>
      </c>
      <c r="B65" t="str">
        <f>CONCATENATE(N65,"_",O65)</f>
        <v>308094_3 months</v>
      </c>
      <c r="C65" t="s">
        <v>111</v>
      </c>
      <c r="D65">
        <v>10000</v>
      </c>
      <c r="E65">
        <v>0.3805</v>
      </c>
      <c r="F65">
        <v>2.0899999999999998E-2</v>
      </c>
      <c r="G65">
        <v>3.4500000000000003E-2</v>
      </c>
      <c r="H65">
        <v>7.2900000000000006E-2</v>
      </c>
      <c r="I65">
        <v>0.3483</v>
      </c>
      <c r="J65">
        <v>2.6800000000000001E-2</v>
      </c>
      <c r="K65">
        <v>0</v>
      </c>
      <c r="L65">
        <v>0.11609999999999999</v>
      </c>
      <c r="M65" t="s">
        <v>17</v>
      </c>
      <c r="N65">
        <v>308094</v>
      </c>
      <c r="O65" t="s">
        <v>115</v>
      </c>
      <c r="P65" t="s">
        <v>206</v>
      </c>
      <c r="Q65" t="s">
        <v>111</v>
      </c>
      <c r="R65">
        <v>308094</v>
      </c>
      <c r="S65">
        <v>10</v>
      </c>
      <c r="T65" t="s">
        <v>206</v>
      </c>
      <c r="U65">
        <v>21.618069815195099</v>
      </c>
      <c r="V65">
        <v>0</v>
      </c>
    </row>
    <row r="66" spans="1:22" x14ac:dyDescent="0.25">
      <c r="A66">
        <v>172</v>
      </c>
      <c r="B66" t="str">
        <f>CONCATENATE(N66,"_",O66)</f>
        <v>453691_3 months</v>
      </c>
      <c r="C66" t="s">
        <v>95</v>
      </c>
      <c r="D66">
        <v>10000</v>
      </c>
      <c r="E66">
        <v>0.4178</v>
      </c>
      <c r="F66">
        <v>3.0200000000000001E-2</v>
      </c>
      <c r="G66">
        <v>4.7699999999999999E-2</v>
      </c>
      <c r="H66">
        <v>6.0900000000000003E-2</v>
      </c>
      <c r="I66">
        <v>0.33</v>
      </c>
      <c r="J66">
        <v>0</v>
      </c>
      <c r="K66">
        <v>0</v>
      </c>
      <c r="L66">
        <v>0.1134</v>
      </c>
      <c r="M66" t="s">
        <v>233</v>
      </c>
      <c r="N66">
        <v>453691</v>
      </c>
      <c r="O66" t="s">
        <v>115</v>
      </c>
      <c r="P66" t="s">
        <v>206</v>
      </c>
      <c r="Q66" t="s">
        <v>95</v>
      </c>
      <c r="R66">
        <v>453691</v>
      </c>
      <c r="S66">
        <v>9</v>
      </c>
      <c r="T66" t="s">
        <v>206</v>
      </c>
      <c r="U66">
        <v>23.2936344969199</v>
      </c>
      <c r="V66">
        <v>0</v>
      </c>
    </row>
    <row r="67" spans="1:22" x14ac:dyDescent="0.25">
      <c r="A67">
        <v>208</v>
      </c>
      <c r="B67" t="str">
        <f>CONCATENATE(N67,"_",O67)</f>
        <v>557085_18 months</v>
      </c>
      <c r="C67" t="s">
        <v>45</v>
      </c>
      <c r="D67">
        <v>9932</v>
      </c>
      <c r="E67">
        <v>0.36670000000000003</v>
      </c>
      <c r="F67">
        <v>0</v>
      </c>
      <c r="G67">
        <v>3.15E-2</v>
      </c>
      <c r="H67">
        <v>0</v>
      </c>
      <c r="I67">
        <v>0.40589999999999998</v>
      </c>
      <c r="J67">
        <v>8.3299999999999999E-2</v>
      </c>
      <c r="K67">
        <v>0</v>
      </c>
      <c r="L67">
        <v>0.11269999999999999</v>
      </c>
      <c r="M67" t="s">
        <v>17</v>
      </c>
      <c r="N67">
        <v>557085</v>
      </c>
      <c r="O67" t="s">
        <v>32</v>
      </c>
      <c r="P67" t="s">
        <v>234</v>
      </c>
      <c r="Q67" t="s">
        <v>45</v>
      </c>
      <c r="R67">
        <v>557085</v>
      </c>
      <c r="S67">
        <v>9</v>
      </c>
      <c r="T67" t="s">
        <v>234</v>
      </c>
      <c r="U67">
        <v>17.5770020533881</v>
      </c>
      <c r="V67">
        <v>0</v>
      </c>
    </row>
    <row r="68" spans="1:22" x14ac:dyDescent="0.25">
      <c r="A68">
        <v>186</v>
      </c>
      <c r="B68" t="str">
        <f>CONCATENATE(N68,"_",O68)</f>
        <v>453691_6 months</v>
      </c>
      <c r="C68" t="s">
        <v>15</v>
      </c>
      <c r="D68">
        <v>10000</v>
      </c>
      <c r="E68">
        <v>0.36780000000000002</v>
      </c>
      <c r="F68">
        <v>0</v>
      </c>
      <c r="G68">
        <v>2.8400000000000002E-2</v>
      </c>
      <c r="H68">
        <v>7.2900000000000006E-2</v>
      </c>
      <c r="I68">
        <v>0.40770000000000001</v>
      </c>
      <c r="J68">
        <v>1.0699999999999999E-2</v>
      </c>
      <c r="K68">
        <v>0</v>
      </c>
      <c r="L68">
        <v>0.1125</v>
      </c>
      <c r="M68" t="s">
        <v>233</v>
      </c>
      <c r="N68">
        <v>453691</v>
      </c>
      <c r="O68" t="s">
        <v>217</v>
      </c>
      <c r="P68" t="s">
        <v>206</v>
      </c>
      <c r="Q68" t="s">
        <v>15</v>
      </c>
      <c r="R68">
        <v>453691</v>
      </c>
      <c r="S68">
        <v>9</v>
      </c>
      <c r="T68" t="s">
        <v>206</v>
      </c>
      <c r="U68">
        <v>23.2936344969199</v>
      </c>
      <c r="V68">
        <v>0</v>
      </c>
    </row>
    <row r="69" spans="1:22" x14ac:dyDescent="0.25">
      <c r="A69">
        <v>4</v>
      </c>
      <c r="B69" t="str">
        <f>CONCATENATE(N69,"_",O69)</f>
        <v>716379_3 months</v>
      </c>
      <c r="C69" t="s">
        <v>207</v>
      </c>
      <c r="D69">
        <v>9940</v>
      </c>
      <c r="E69">
        <v>0.3821</v>
      </c>
      <c r="F69">
        <v>0</v>
      </c>
      <c r="G69">
        <v>9.4100000000000003E-2</v>
      </c>
      <c r="H69">
        <v>4.19E-2</v>
      </c>
      <c r="I69">
        <v>0.24560000000000001</v>
      </c>
      <c r="J69">
        <v>0.1241</v>
      </c>
      <c r="K69">
        <v>0</v>
      </c>
      <c r="L69">
        <v>0.1123</v>
      </c>
      <c r="M69" t="s">
        <v>233</v>
      </c>
      <c r="N69">
        <v>716379</v>
      </c>
      <c r="O69" t="s">
        <v>115</v>
      </c>
      <c r="P69" t="s">
        <v>206</v>
      </c>
      <c r="Q69" t="s">
        <v>207</v>
      </c>
      <c r="R69">
        <v>716379</v>
      </c>
      <c r="S69">
        <v>19</v>
      </c>
      <c r="T69" t="s">
        <v>206</v>
      </c>
      <c r="U69">
        <v>42.447638603696099</v>
      </c>
      <c r="V69">
        <v>1</v>
      </c>
    </row>
    <row r="70" spans="1:22" x14ac:dyDescent="0.25">
      <c r="A70">
        <v>77</v>
      </c>
      <c r="B70" t="str">
        <f>CONCATENATE(N70,"_",O70)</f>
        <v>558054_6 months</v>
      </c>
      <c r="C70" t="s">
        <v>40</v>
      </c>
      <c r="D70">
        <v>10000</v>
      </c>
      <c r="E70">
        <v>0.24790000000000001</v>
      </c>
      <c r="F70">
        <v>4.7399999999999998E-2</v>
      </c>
      <c r="G70">
        <v>3.4099999999999998E-2</v>
      </c>
      <c r="H70">
        <v>9.7699999999999995E-2</v>
      </c>
      <c r="I70">
        <v>0.3901</v>
      </c>
      <c r="J70">
        <v>5.4300000000000001E-2</v>
      </c>
      <c r="K70">
        <v>1.6400000000000001E-2</v>
      </c>
      <c r="L70">
        <v>0.11210000000000001</v>
      </c>
      <c r="M70" t="s">
        <v>17</v>
      </c>
      <c r="N70">
        <v>558054</v>
      </c>
      <c r="O70" t="s">
        <v>217</v>
      </c>
      <c r="P70" t="s">
        <v>206</v>
      </c>
      <c r="Q70" t="s">
        <v>40</v>
      </c>
      <c r="R70">
        <v>558054</v>
      </c>
      <c r="S70">
        <v>12</v>
      </c>
      <c r="T70" t="s">
        <v>206</v>
      </c>
      <c r="U70">
        <v>59.630390143737202</v>
      </c>
      <c r="V70">
        <v>1</v>
      </c>
    </row>
    <row r="71" spans="1:22" x14ac:dyDescent="0.25">
      <c r="A71">
        <v>133</v>
      </c>
      <c r="B71" t="str">
        <f>CONCATENATE(N71,"_",O71)</f>
        <v>224910_18 months</v>
      </c>
      <c r="C71" t="s">
        <v>43</v>
      </c>
      <c r="D71">
        <v>10000</v>
      </c>
      <c r="E71">
        <v>0.1368</v>
      </c>
      <c r="F71">
        <v>0.18740000000000001</v>
      </c>
      <c r="G71">
        <v>0.19209999999999999</v>
      </c>
      <c r="H71">
        <v>0.2225</v>
      </c>
      <c r="I71">
        <v>0.1147</v>
      </c>
      <c r="J71">
        <v>3.49E-2</v>
      </c>
      <c r="K71">
        <v>0</v>
      </c>
      <c r="L71">
        <v>0.1116</v>
      </c>
      <c r="M71" t="s">
        <v>17</v>
      </c>
      <c r="N71">
        <v>224910</v>
      </c>
      <c r="O71" t="s">
        <v>32</v>
      </c>
      <c r="P71" t="s">
        <v>206</v>
      </c>
      <c r="Q71" t="s">
        <v>43</v>
      </c>
      <c r="R71">
        <v>224910</v>
      </c>
      <c r="S71">
        <v>23</v>
      </c>
      <c r="T71" t="s">
        <v>206</v>
      </c>
      <c r="U71">
        <v>18.661190965092398</v>
      </c>
      <c r="V71">
        <v>1</v>
      </c>
    </row>
    <row r="72" spans="1:22" x14ac:dyDescent="0.25">
      <c r="A72">
        <v>206</v>
      </c>
      <c r="B72" t="str">
        <f>CONCATENATE(N72,"_",O72)</f>
        <v>307044_18 months</v>
      </c>
      <c r="C72" t="s">
        <v>129</v>
      </c>
      <c r="D72">
        <v>9948</v>
      </c>
      <c r="E72">
        <v>0.52110000000000001</v>
      </c>
      <c r="F72">
        <v>4.4400000000000002E-2</v>
      </c>
      <c r="G72">
        <v>5.9400000000000001E-2</v>
      </c>
      <c r="H72">
        <v>4.6800000000000001E-2</v>
      </c>
      <c r="I72">
        <v>0.188</v>
      </c>
      <c r="J72">
        <v>2.9600000000000001E-2</v>
      </c>
      <c r="K72">
        <v>0</v>
      </c>
      <c r="L72">
        <v>0.11070000000000001</v>
      </c>
      <c r="M72" t="s">
        <v>17</v>
      </c>
      <c r="N72">
        <v>307044</v>
      </c>
      <c r="O72" t="s">
        <v>32</v>
      </c>
      <c r="P72" t="s">
        <v>206</v>
      </c>
      <c r="Q72" t="s">
        <v>129</v>
      </c>
      <c r="R72">
        <v>307044</v>
      </c>
      <c r="S72">
        <v>13</v>
      </c>
      <c r="T72" t="s">
        <v>206</v>
      </c>
      <c r="U72">
        <v>16.854209445585202</v>
      </c>
      <c r="V72">
        <v>0</v>
      </c>
    </row>
    <row r="73" spans="1:22" x14ac:dyDescent="0.25">
      <c r="A73">
        <v>35</v>
      </c>
      <c r="B73" t="str">
        <f>CONCATENATE(N73,"_",O73)</f>
        <v>378864_3 months</v>
      </c>
      <c r="C73" t="s">
        <v>88</v>
      </c>
      <c r="D73">
        <v>10000</v>
      </c>
      <c r="E73">
        <v>0.30349999999999999</v>
      </c>
      <c r="F73">
        <v>0</v>
      </c>
      <c r="G73">
        <v>6.3899999999999998E-2</v>
      </c>
      <c r="H73">
        <v>3.1099999999999999E-2</v>
      </c>
      <c r="I73">
        <v>0.48099999999999998</v>
      </c>
      <c r="J73">
        <v>0.01</v>
      </c>
      <c r="K73">
        <v>0</v>
      </c>
      <c r="L73">
        <v>0.1105</v>
      </c>
      <c r="M73" t="s">
        <v>17</v>
      </c>
      <c r="N73">
        <v>378864</v>
      </c>
      <c r="O73" t="s">
        <v>115</v>
      </c>
      <c r="P73" t="s">
        <v>234</v>
      </c>
      <c r="Q73" t="s">
        <v>88</v>
      </c>
      <c r="R73">
        <v>378864</v>
      </c>
      <c r="S73">
        <v>12</v>
      </c>
      <c r="T73" t="s">
        <v>234</v>
      </c>
      <c r="U73">
        <v>3.1211498973306</v>
      </c>
      <c r="V73">
        <v>1</v>
      </c>
    </row>
    <row r="74" spans="1:22" x14ac:dyDescent="0.25">
      <c r="A74">
        <v>175</v>
      </c>
      <c r="B74" t="str">
        <f>CONCATENATE(N74,"_",O74)</f>
        <v>954069_6 months</v>
      </c>
      <c r="C74" t="s">
        <v>56</v>
      </c>
      <c r="D74">
        <v>10000</v>
      </c>
      <c r="E74">
        <v>0.25409999999999999</v>
      </c>
      <c r="F74">
        <v>0.14230000000000001</v>
      </c>
      <c r="G74">
        <v>3.0099999999999998E-2</v>
      </c>
      <c r="H74">
        <v>0.17280000000000001</v>
      </c>
      <c r="I74">
        <v>0.2389</v>
      </c>
      <c r="J74">
        <v>5.1999999999999998E-2</v>
      </c>
      <c r="K74">
        <v>0</v>
      </c>
      <c r="L74">
        <v>0.10979999999999999</v>
      </c>
      <c r="M74" t="s">
        <v>17</v>
      </c>
      <c r="N74">
        <v>954069</v>
      </c>
      <c r="O74" t="s">
        <v>217</v>
      </c>
      <c r="P74" t="s">
        <v>206</v>
      </c>
      <c r="Q74" t="s">
        <v>56</v>
      </c>
      <c r="R74">
        <v>954069</v>
      </c>
      <c r="S74">
        <v>41</v>
      </c>
      <c r="T74" t="s">
        <v>206</v>
      </c>
      <c r="U74">
        <v>24.410677618069801</v>
      </c>
      <c r="V74">
        <v>0</v>
      </c>
    </row>
    <row r="75" spans="1:22" x14ac:dyDescent="0.25">
      <c r="A75">
        <v>75</v>
      </c>
      <c r="B75" t="str">
        <f>CONCATENATE(N75,"_",O75)</f>
        <v>690566_Baseline</v>
      </c>
      <c r="C75" t="s">
        <v>50</v>
      </c>
      <c r="D75">
        <v>10000</v>
      </c>
      <c r="E75">
        <v>0.39079999999999998</v>
      </c>
      <c r="F75">
        <v>0</v>
      </c>
      <c r="G75">
        <v>8.6099999999999996E-2</v>
      </c>
      <c r="H75">
        <v>7.4999999999999997E-2</v>
      </c>
      <c r="I75">
        <v>0.28260000000000002</v>
      </c>
      <c r="J75">
        <v>5.6000000000000001E-2</v>
      </c>
      <c r="K75">
        <v>0</v>
      </c>
      <c r="L75">
        <v>0.1095</v>
      </c>
      <c r="M75" t="s">
        <v>233</v>
      </c>
      <c r="N75">
        <v>690566</v>
      </c>
      <c r="O75" t="s">
        <v>100</v>
      </c>
      <c r="P75" t="s">
        <v>234</v>
      </c>
      <c r="Q75" t="s">
        <v>50</v>
      </c>
      <c r="R75">
        <v>690566</v>
      </c>
      <c r="S75">
        <v>13</v>
      </c>
      <c r="T75" t="s">
        <v>234</v>
      </c>
      <c r="U75">
        <v>11.860369609856299</v>
      </c>
      <c r="V75">
        <v>1</v>
      </c>
    </row>
    <row r="76" spans="1:22" x14ac:dyDescent="0.25">
      <c r="A76">
        <v>12</v>
      </c>
      <c r="B76" t="str">
        <f>CONCATENATE(N76,"_",O76)</f>
        <v>599693_6 months</v>
      </c>
      <c r="C76" t="s">
        <v>47</v>
      </c>
      <c r="D76">
        <v>10000</v>
      </c>
      <c r="E76">
        <v>0.37880000000000003</v>
      </c>
      <c r="F76">
        <v>1.3299999999999999E-2</v>
      </c>
      <c r="G76">
        <v>0.1235</v>
      </c>
      <c r="H76">
        <v>4.9399999999999999E-2</v>
      </c>
      <c r="I76">
        <v>0.28749999999999998</v>
      </c>
      <c r="J76">
        <v>3.8699999999999998E-2</v>
      </c>
      <c r="K76">
        <v>0</v>
      </c>
      <c r="L76">
        <v>0.10879999999999999</v>
      </c>
      <c r="M76" t="s">
        <v>233</v>
      </c>
      <c r="N76">
        <v>599693</v>
      </c>
      <c r="O76" t="s">
        <v>217</v>
      </c>
      <c r="P76" t="s">
        <v>206</v>
      </c>
      <c r="Q76" t="s">
        <v>47</v>
      </c>
      <c r="R76">
        <v>599693</v>
      </c>
      <c r="S76">
        <v>24</v>
      </c>
      <c r="T76" t="s">
        <v>206</v>
      </c>
      <c r="U76">
        <v>42.184804928131399</v>
      </c>
      <c r="V76">
        <v>1</v>
      </c>
    </row>
    <row r="77" spans="1:22" x14ac:dyDescent="0.25">
      <c r="A77">
        <v>140</v>
      </c>
      <c r="B77" t="str">
        <f>CONCATENATE(N77,"_",O77)</f>
        <v>546758_Baseline</v>
      </c>
      <c r="C77" t="s">
        <v>213</v>
      </c>
      <c r="D77">
        <v>10000</v>
      </c>
      <c r="E77">
        <v>0.36919999999999997</v>
      </c>
      <c r="F77">
        <v>0</v>
      </c>
      <c r="G77">
        <v>4.8099999999999997E-2</v>
      </c>
      <c r="H77">
        <v>6.4500000000000002E-2</v>
      </c>
      <c r="I77">
        <v>0.37609999999999999</v>
      </c>
      <c r="J77">
        <v>3.3399999999999999E-2</v>
      </c>
      <c r="K77">
        <v>0</v>
      </c>
      <c r="L77">
        <v>0.1087</v>
      </c>
      <c r="M77" t="s">
        <v>233</v>
      </c>
      <c r="N77">
        <v>546758</v>
      </c>
      <c r="O77" t="s">
        <v>100</v>
      </c>
      <c r="P77" t="s">
        <v>206</v>
      </c>
      <c r="Q77" t="s">
        <v>213</v>
      </c>
      <c r="R77">
        <v>546758</v>
      </c>
      <c r="S77">
        <v>8</v>
      </c>
      <c r="T77" t="s">
        <v>206</v>
      </c>
      <c r="U77">
        <v>30.258726899384001</v>
      </c>
      <c r="V77">
        <v>0</v>
      </c>
    </row>
    <row r="78" spans="1:22" x14ac:dyDescent="0.25">
      <c r="A78">
        <v>141</v>
      </c>
      <c r="B78" t="str">
        <f>CONCATENATE(N78,"_",O78)</f>
        <v>488675_18 months</v>
      </c>
      <c r="C78" t="s">
        <v>52</v>
      </c>
      <c r="D78">
        <v>10000</v>
      </c>
      <c r="E78">
        <v>0.3548</v>
      </c>
      <c r="F78">
        <v>0.15329999999999999</v>
      </c>
      <c r="G78">
        <v>4.3700000000000003E-2</v>
      </c>
      <c r="H78">
        <v>9.1800000000000007E-2</v>
      </c>
      <c r="I78">
        <v>0.23089999999999999</v>
      </c>
      <c r="J78">
        <v>1.6799999999999999E-2</v>
      </c>
      <c r="K78">
        <v>0</v>
      </c>
      <c r="L78">
        <v>0.1087</v>
      </c>
      <c r="M78" t="s">
        <v>17</v>
      </c>
      <c r="N78">
        <v>488675</v>
      </c>
      <c r="O78" t="s">
        <v>32</v>
      </c>
      <c r="P78" t="s">
        <v>234</v>
      </c>
      <c r="Q78" t="s">
        <v>52</v>
      </c>
      <c r="R78">
        <v>488675</v>
      </c>
      <c r="S78">
        <v>11</v>
      </c>
      <c r="T78" t="s">
        <v>234</v>
      </c>
      <c r="U78">
        <v>47.572895277207401</v>
      </c>
      <c r="V78">
        <v>0</v>
      </c>
    </row>
    <row r="79" spans="1:22" x14ac:dyDescent="0.25">
      <c r="A79">
        <v>66</v>
      </c>
      <c r="B79" t="str">
        <f>CONCATENATE(N79,"_",O79)</f>
        <v>211730_Baseline</v>
      </c>
      <c r="C79" t="s">
        <v>119</v>
      </c>
      <c r="D79">
        <v>10000</v>
      </c>
      <c r="E79">
        <v>0.45839999999999997</v>
      </c>
      <c r="F79">
        <v>3.0700000000000002E-2</v>
      </c>
      <c r="G79">
        <v>9.9699999999999997E-2</v>
      </c>
      <c r="H79">
        <v>8.2699999999999996E-2</v>
      </c>
      <c r="I79">
        <v>0.20949999999999999</v>
      </c>
      <c r="J79">
        <v>0</v>
      </c>
      <c r="K79">
        <v>1.0800000000000001E-2</v>
      </c>
      <c r="L79">
        <v>0.1082</v>
      </c>
      <c r="M79" t="s">
        <v>17</v>
      </c>
      <c r="N79">
        <v>211730</v>
      </c>
      <c r="O79" t="s">
        <v>100</v>
      </c>
      <c r="P79" t="s">
        <v>206</v>
      </c>
      <c r="Q79" t="s">
        <v>119</v>
      </c>
      <c r="R79">
        <v>211730</v>
      </c>
      <c r="S79">
        <v>12</v>
      </c>
      <c r="T79" t="s">
        <v>206</v>
      </c>
      <c r="U79">
        <v>30.0287474332649</v>
      </c>
      <c r="V79">
        <v>1</v>
      </c>
    </row>
    <row r="80" spans="1:22" x14ac:dyDescent="0.25">
      <c r="A80">
        <v>164</v>
      </c>
      <c r="B80" t="str">
        <f>CONCATENATE(N80,"_",O80)</f>
        <v>453691_Baseline</v>
      </c>
      <c r="C80" t="s">
        <v>70</v>
      </c>
      <c r="D80">
        <v>10000</v>
      </c>
      <c r="E80">
        <v>0.40629999999999999</v>
      </c>
      <c r="F80">
        <v>6.9000000000000006E-2</v>
      </c>
      <c r="G80">
        <v>5.0799999999999998E-2</v>
      </c>
      <c r="H80">
        <v>4.5199999999999997E-2</v>
      </c>
      <c r="I80">
        <v>0.32129999999999997</v>
      </c>
      <c r="J80">
        <v>0</v>
      </c>
      <c r="K80">
        <v>0</v>
      </c>
      <c r="L80">
        <v>0.1074</v>
      </c>
      <c r="M80" t="s">
        <v>233</v>
      </c>
      <c r="N80">
        <v>453691</v>
      </c>
      <c r="O80" t="s">
        <v>100</v>
      </c>
      <c r="P80" t="s">
        <v>206</v>
      </c>
      <c r="Q80" t="s">
        <v>70</v>
      </c>
      <c r="R80">
        <v>453691</v>
      </c>
      <c r="S80">
        <v>9</v>
      </c>
      <c r="T80" t="s">
        <v>206</v>
      </c>
      <c r="U80">
        <v>23.2936344969199</v>
      </c>
      <c r="V80">
        <v>0</v>
      </c>
    </row>
    <row r="81" spans="1:22" x14ac:dyDescent="0.25">
      <c r="A81">
        <v>11</v>
      </c>
      <c r="B81" t="str">
        <f>CONCATENATE(N81,"_",O81)</f>
        <v>599693_3 months</v>
      </c>
      <c r="C81" t="s">
        <v>4</v>
      </c>
      <c r="D81">
        <v>9921</v>
      </c>
      <c r="E81">
        <v>0.28920000000000001</v>
      </c>
      <c r="F81">
        <v>0</v>
      </c>
      <c r="G81">
        <v>0.15620000000000001</v>
      </c>
      <c r="H81">
        <v>3.85E-2</v>
      </c>
      <c r="I81">
        <v>0.40889999999999999</v>
      </c>
      <c r="J81">
        <v>0</v>
      </c>
      <c r="K81">
        <v>0</v>
      </c>
      <c r="L81">
        <v>0.1071</v>
      </c>
      <c r="M81" t="s">
        <v>17</v>
      </c>
      <c r="N81">
        <v>599693</v>
      </c>
      <c r="O81" t="s">
        <v>115</v>
      </c>
      <c r="P81" t="s">
        <v>206</v>
      </c>
      <c r="Q81" t="s">
        <v>4</v>
      </c>
      <c r="R81">
        <v>599693</v>
      </c>
      <c r="S81">
        <v>24</v>
      </c>
      <c r="T81" t="s">
        <v>206</v>
      </c>
      <c r="U81">
        <v>42.184804928131399</v>
      </c>
      <c r="V81">
        <v>1</v>
      </c>
    </row>
    <row r="82" spans="1:22" x14ac:dyDescent="0.25">
      <c r="A82">
        <v>144</v>
      </c>
      <c r="B82" t="str">
        <f>CONCATENATE(N82,"_",O82)</f>
        <v>872759_6 months</v>
      </c>
      <c r="C82" t="s">
        <v>214</v>
      </c>
      <c r="D82">
        <v>10000</v>
      </c>
      <c r="E82">
        <v>0.39079999999999998</v>
      </c>
      <c r="F82">
        <v>5.8700000000000002E-2</v>
      </c>
      <c r="G82">
        <v>4.2500000000000003E-2</v>
      </c>
      <c r="H82">
        <v>7.3499999999999996E-2</v>
      </c>
      <c r="I82">
        <v>0.31659999999999999</v>
      </c>
      <c r="J82">
        <v>1.12E-2</v>
      </c>
      <c r="K82">
        <v>0</v>
      </c>
      <c r="L82">
        <v>0.1067</v>
      </c>
      <c r="M82" t="s">
        <v>17</v>
      </c>
      <c r="N82">
        <v>872759</v>
      </c>
      <c r="O82" t="s">
        <v>217</v>
      </c>
      <c r="P82" t="s">
        <v>206</v>
      </c>
      <c r="Q82" t="s">
        <v>214</v>
      </c>
      <c r="R82">
        <v>872759</v>
      </c>
      <c r="S82">
        <v>9</v>
      </c>
      <c r="T82" t="s">
        <v>206</v>
      </c>
      <c r="U82">
        <v>30.751540041067798</v>
      </c>
      <c r="V82">
        <v>0</v>
      </c>
    </row>
    <row r="83" spans="1:22" x14ac:dyDescent="0.25">
      <c r="A83">
        <v>111</v>
      </c>
      <c r="B83" t="str">
        <f>CONCATENATE(N83,"_",O83)</f>
        <v>582246_6 months</v>
      </c>
      <c r="C83" t="s">
        <v>185</v>
      </c>
      <c r="D83">
        <v>10000</v>
      </c>
      <c r="E83">
        <v>0.35499999999999998</v>
      </c>
      <c r="F83">
        <v>0.12859999999999999</v>
      </c>
      <c r="G83">
        <v>2.3599999999999999E-2</v>
      </c>
      <c r="H83">
        <v>3.0599999999999999E-2</v>
      </c>
      <c r="I83">
        <v>0.30449999999999999</v>
      </c>
      <c r="J83">
        <v>3.95E-2</v>
      </c>
      <c r="K83">
        <v>1.44E-2</v>
      </c>
      <c r="L83">
        <v>0.1038</v>
      </c>
      <c r="M83" t="s">
        <v>17</v>
      </c>
      <c r="N83">
        <v>582246</v>
      </c>
      <c r="O83" t="s">
        <v>217</v>
      </c>
      <c r="P83" t="s">
        <v>206</v>
      </c>
      <c r="Q83" t="s">
        <v>185</v>
      </c>
      <c r="R83">
        <v>582246</v>
      </c>
      <c r="S83">
        <v>12</v>
      </c>
      <c r="T83" t="s">
        <v>206</v>
      </c>
      <c r="U83">
        <v>47.375770020533899</v>
      </c>
      <c r="V83">
        <v>0</v>
      </c>
    </row>
    <row r="84" spans="1:22" x14ac:dyDescent="0.25">
      <c r="A84">
        <v>158</v>
      </c>
      <c r="B84" t="str">
        <f>CONCATENATE(N84,"_",O84)</f>
        <v>548882_3 months</v>
      </c>
      <c r="C84" t="s">
        <v>202</v>
      </c>
      <c r="D84">
        <v>10000</v>
      </c>
      <c r="E84">
        <v>0.40820000000000001</v>
      </c>
      <c r="F84">
        <v>3.4799999999999998E-2</v>
      </c>
      <c r="G84">
        <v>7.7799999999999994E-2</v>
      </c>
      <c r="H84">
        <v>8.3699999999999997E-2</v>
      </c>
      <c r="I84">
        <v>0.26419999999999999</v>
      </c>
      <c r="J84">
        <v>2.86E-2</v>
      </c>
      <c r="K84">
        <v>0</v>
      </c>
      <c r="L84">
        <v>0.1027</v>
      </c>
      <c r="M84" t="s">
        <v>17</v>
      </c>
      <c r="N84">
        <v>548882</v>
      </c>
      <c r="O84" t="s">
        <v>115</v>
      </c>
      <c r="P84" t="s">
        <v>234</v>
      </c>
      <c r="Q84" t="s">
        <v>202</v>
      </c>
      <c r="R84">
        <v>548882</v>
      </c>
      <c r="S84">
        <v>8</v>
      </c>
      <c r="T84" t="s">
        <v>234</v>
      </c>
      <c r="U84">
        <v>18.135523613962999</v>
      </c>
      <c r="V84">
        <v>1</v>
      </c>
    </row>
    <row r="85" spans="1:22" x14ac:dyDescent="0.25">
      <c r="A85">
        <v>137</v>
      </c>
      <c r="B85" t="str">
        <f>CONCATENATE(N85,"_",O85)</f>
        <v>582246_18 months</v>
      </c>
      <c r="C85" t="s">
        <v>200</v>
      </c>
      <c r="D85">
        <v>10000</v>
      </c>
      <c r="E85">
        <v>0.48259999999999997</v>
      </c>
      <c r="F85">
        <v>2.2499999999999999E-2</v>
      </c>
      <c r="G85">
        <v>3.5099999999999999E-2</v>
      </c>
      <c r="H85">
        <v>3.7699999999999997E-2</v>
      </c>
      <c r="I85">
        <v>0.27329999999999999</v>
      </c>
      <c r="J85">
        <v>4.6899999999999997E-2</v>
      </c>
      <c r="K85">
        <v>0</v>
      </c>
      <c r="L85">
        <v>0.1019</v>
      </c>
      <c r="M85" t="s">
        <v>17</v>
      </c>
      <c r="N85">
        <v>582246</v>
      </c>
      <c r="O85" t="s">
        <v>32</v>
      </c>
      <c r="P85" t="s">
        <v>206</v>
      </c>
      <c r="Q85" t="s">
        <v>200</v>
      </c>
      <c r="R85">
        <v>582246</v>
      </c>
      <c r="S85">
        <v>12</v>
      </c>
      <c r="T85" t="s">
        <v>206</v>
      </c>
      <c r="U85">
        <v>47.375770020533899</v>
      </c>
      <c r="V85">
        <v>0</v>
      </c>
    </row>
    <row r="86" spans="1:22" x14ac:dyDescent="0.25">
      <c r="A86">
        <v>180</v>
      </c>
      <c r="B86" t="str">
        <f>CONCATENATE(N86,"_",O86)</f>
        <v>846511_3 months</v>
      </c>
      <c r="C86" t="s">
        <v>188</v>
      </c>
      <c r="D86">
        <v>9908</v>
      </c>
      <c r="E86">
        <v>0.47620000000000001</v>
      </c>
      <c r="F86">
        <v>0</v>
      </c>
      <c r="G86">
        <v>3.0800000000000001E-2</v>
      </c>
      <c r="H86">
        <v>9.4200000000000006E-2</v>
      </c>
      <c r="I86">
        <v>0.26889999999999997</v>
      </c>
      <c r="J86">
        <v>2.86E-2</v>
      </c>
      <c r="K86">
        <v>0</v>
      </c>
      <c r="L86">
        <v>0.1014</v>
      </c>
      <c r="M86" t="s">
        <v>233</v>
      </c>
      <c r="N86">
        <v>846511</v>
      </c>
      <c r="O86" t="s">
        <v>115</v>
      </c>
      <c r="P86" t="s">
        <v>234</v>
      </c>
      <c r="Q86" t="s">
        <v>188</v>
      </c>
      <c r="R86">
        <v>846511</v>
      </c>
      <c r="S86">
        <v>8</v>
      </c>
      <c r="T86" t="s">
        <v>234</v>
      </c>
      <c r="U86">
        <v>9.4620123203285402</v>
      </c>
      <c r="V86">
        <v>1</v>
      </c>
    </row>
    <row r="87" spans="1:22" x14ac:dyDescent="0.25">
      <c r="A87">
        <v>84</v>
      </c>
      <c r="B87" t="str">
        <f>CONCATENATE(N87,"_",O87)</f>
        <v>690566_3 months</v>
      </c>
      <c r="C87" t="s">
        <v>134</v>
      </c>
      <c r="D87">
        <v>10000</v>
      </c>
      <c r="E87">
        <v>0.44569999999999999</v>
      </c>
      <c r="F87">
        <v>0</v>
      </c>
      <c r="G87">
        <v>5.8900000000000001E-2</v>
      </c>
      <c r="H87">
        <v>8.3000000000000004E-2</v>
      </c>
      <c r="I87">
        <v>0.26169999999999999</v>
      </c>
      <c r="J87">
        <v>4.9500000000000002E-2</v>
      </c>
      <c r="K87">
        <v>0</v>
      </c>
      <c r="L87">
        <v>0.1012</v>
      </c>
      <c r="M87" t="s">
        <v>233</v>
      </c>
      <c r="N87">
        <v>690566</v>
      </c>
      <c r="O87" t="s">
        <v>115</v>
      </c>
      <c r="P87" t="s">
        <v>234</v>
      </c>
      <c r="Q87" t="s">
        <v>134</v>
      </c>
      <c r="R87">
        <v>690566</v>
      </c>
      <c r="S87">
        <v>13</v>
      </c>
      <c r="T87" t="s">
        <v>234</v>
      </c>
      <c r="U87">
        <v>11.860369609856299</v>
      </c>
      <c r="V87">
        <v>1</v>
      </c>
    </row>
    <row r="88" spans="1:22" x14ac:dyDescent="0.25">
      <c r="A88">
        <v>191</v>
      </c>
      <c r="B88" t="str">
        <f>CONCATENATE(N88,"_",O88)</f>
        <v>557085_3 months</v>
      </c>
      <c r="C88" t="s">
        <v>141</v>
      </c>
      <c r="D88">
        <v>10000</v>
      </c>
      <c r="E88">
        <v>0.50219999999999998</v>
      </c>
      <c r="F88">
        <v>0</v>
      </c>
      <c r="G88">
        <v>1.6799999999999999E-2</v>
      </c>
      <c r="H88">
        <v>0</v>
      </c>
      <c r="I88">
        <v>0.32050000000000001</v>
      </c>
      <c r="J88">
        <v>5.9700000000000003E-2</v>
      </c>
      <c r="K88">
        <v>0</v>
      </c>
      <c r="L88">
        <v>0.1008</v>
      </c>
      <c r="M88" t="s">
        <v>17</v>
      </c>
      <c r="N88">
        <v>557085</v>
      </c>
      <c r="O88" t="s">
        <v>115</v>
      </c>
      <c r="P88" t="s">
        <v>234</v>
      </c>
      <c r="Q88" t="s">
        <v>141</v>
      </c>
      <c r="R88">
        <v>557085</v>
      </c>
      <c r="S88">
        <v>9</v>
      </c>
      <c r="T88" t="s">
        <v>234</v>
      </c>
      <c r="U88">
        <v>17.5770020533881</v>
      </c>
      <c r="V88">
        <v>0</v>
      </c>
    </row>
    <row r="89" spans="1:22" x14ac:dyDescent="0.25">
      <c r="A89">
        <v>163</v>
      </c>
      <c r="B89" t="str">
        <f>CONCATENATE(N89,"_",O89)</f>
        <v>251760_6 months</v>
      </c>
      <c r="C89" t="s">
        <v>229</v>
      </c>
      <c r="D89">
        <v>9923</v>
      </c>
      <c r="E89">
        <v>0.26069999999999999</v>
      </c>
      <c r="F89">
        <v>0.21079999999999999</v>
      </c>
      <c r="G89">
        <v>4.3200000000000002E-2</v>
      </c>
      <c r="H89">
        <v>7.5700000000000003E-2</v>
      </c>
      <c r="I89">
        <v>0.22550000000000001</v>
      </c>
      <c r="J89">
        <v>8.3500000000000005E-2</v>
      </c>
      <c r="K89">
        <v>0</v>
      </c>
      <c r="L89">
        <v>0.10050000000000001</v>
      </c>
      <c r="M89" t="s">
        <v>17</v>
      </c>
      <c r="N89">
        <v>251760</v>
      </c>
      <c r="O89" t="s">
        <v>217</v>
      </c>
      <c r="P89" t="s">
        <v>206</v>
      </c>
      <c r="Q89" t="s">
        <v>229</v>
      </c>
      <c r="R89">
        <v>251760</v>
      </c>
      <c r="S89">
        <v>15</v>
      </c>
      <c r="T89" t="s">
        <v>206</v>
      </c>
      <c r="U89">
        <v>18.398357289527699</v>
      </c>
      <c r="V89">
        <v>1</v>
      </c>
    </row>
    <row r="90" spans="1:22" x14ac:dyDescent="0.25">
      <c r="A90">
        <v>72</v>
      </c>
      <c r="B90" t="str">
        <f>CONCATENATE(N90,"_",O90)</f>
        <v>886154_18 months</v>
      </c>
      <c r="C90" t="s">
        <v>182</v>
      </c>
      <c r="D90">
        <v>10000</v>
      </c>
      <c r="E90">
        <v>0.39939999999999998</v>
      </c>
      <c r="F90">
        <v>0</v>
      </c>
      <c r="G90">
        <v>0.1157</v>
      </c>
      <c r="H90">
        <v>1.55E-2</v>
      </c>
      <c r="I90">
        <v>0.31019999999999998</v>
      </c>
      <c r="J90">
        <v>5.9700000000000003E-2</v>
      </c>
      <c r="K90">
        <v>0</v>
      </c>
      <c r="L90">
        <v>9.9500000000000005E-2</v>
      </c>
      <c r="M90" t="s">
        <v>17</v>
      </c>
      <c r="N90">
        <v>886154</v>
      </c>
      <c r="O90" t="s">
        <v>32</v>
      </c>
      <c r="P90" t="s">
        <v>234</v>
      </c>
      <c r="Q90" t="s">
        <v>182</v>
      </c>
      <c r="R90">
        <v>886154</v>
      </c>
      <c r="S90">
        <v>16</v>
      </c>
      <c r="T90" t="s">
        <v>234</v>
      </c>
      <c r="U90">
        <v>42.349075975359298</v>
      </c>
      <c r="V90">
        <v>1</v>
      </c>
    </row>
    <row r="91" spans="1:22" x14ac:dyDescent="0.25">
      <c r="A91">
        <v>188</v>
      </c>
      <c r="B91" t="str">
        <f>CONCATENATE(N91,"_",O91)</f>
        <v>872759_18 months</v>
      </c>
      <c r="C91" t="s">
        <v>29</v>
      </c>
      <c r="D91">
        <v>10000</v>
      </c>
      <c r="E91">
        <v>0.38590000000000002</v>
      </c>
      <c r="F91">
        <v>5.3900000000000003E-2</v>
      </c>
      <c r="G91">
        <v>7.5999999999999998E-2</v>
      </c>
      <c r="H91">
        <v>7.5899999999999995E-2</v>
      </c>
      <c r="I91">
        <v>0.29020000000000001</v>
      </c>
      <c r="J91">
        <v>1.9199999999999998E-2</v>
      </c>
      <c r="K91">
        <v>0</v>
      </c>
      <c r="L91">
        <v>9.8900000000000002E-2</v>
      </c>
      <c r="M91" t="s">
        <v>17</v>
      </c>
      <c r="N91">
        <v>872759</v>
      </c>
      <c r="O91" t="s">
        <v>32</v>
      </c>
      <c r="P91" t="s">
        <v>206</v>
      </c>
      <c r="Q91" t="s">
        <v>29</v>
      </c>
      <c r="R91">
        <v>872759</v>
      </c>
      <c r="S91">
        <v>9</v>
      </c>
      <c r="T91" t="s">
        <v>206</v>
      </c>
      <c r="U91">
        <v>30.751540041067798</v>
      </c>
      <c r="V91">
        <v>0</v>
      </c>
    </row>
    <row r="92" spans="1:22" x14ac:dyDescent="0.25">
      <c r="A92">
        <v>150</v>
      </c>
      <c r="B92" t="str">
        <f>CONCATENATE(N92,"_",O92)</f>
        <v>251760_3 months</v>
      </c>
      <c r="C92" t="s">
        <v>54</v>
      </c>
      <c r="D92">
        <v>9930</v>
      </c>
      <c r="E92">
        <v>0.26369999999999999</v>
      </c>
      <c r="F92">
        <v>0.2641</v>
      </c>
      <c r="G92">
        <v>2.9899999999999999E-2</v>
      </c>
      <c r="H92">
        <v>7.0800000000000002E-2</v>
      </c>
      <c r="I92">
        <v>0.24129999999999999</v>
      </c>
      <c r="J92">
        <v>3.1899999999999998E-2</v>
      </c>
      <c r="K92">
        <v>0</v>
      </c>
      <c r="L92">
        <v>9.8199999999999996E-2</v>
      </c>
      <c r="M92" t="s">
        <v>17</v>
      </c>
      <c r="N92">
        <v>251760</v>
      </c>
      <c r="O92" t="s">
        <v>115</v>
      </c>
      <c r="P92" t="s">
        <v>206</v>
      </c>
      <c r="Q92" t="s">
        <v>54</v>
      </c>
      <c r="R92">
        <v>251760</v>
      </c>
      <c r="S92">
        <v>15</v>
      </c>
      <c r="T92" t="s">
        <v>206</v>
      </c>
      <c r="U92">
        <v>18.398357289527699</v>
      </c>
      <c r="V92">
        <v>1</v>
      </c>
    </row>
    <row r="93" spans="1:22" x14ac:dyDescent="0.25">
      <c r="A93">
        <v>146</v>
      </c>
      <c r="B93" t="str">
        <f>CONCATENATE(N93,"_",O93)</f>
        <v>404154_Baseline</v>
      </c>
      <c r="C93" t="s">
        <v>84</v>
      </c>
      <c r="D93">
        <v>10000</v>
      </c>
      <c r="E93">
        <v>0.3604</v>
      </c>
      <c r="F93">
        <v>0.1167</v>
      </c>
      <c r="G93">
        <v>6.0900000000000003E-2</v>
      </c>
      <c r="H93">
        <v>0.06</v>
      </c>
      <c r="I93">
        <v>0.24160000000000001</v>
      </c>
      <c r="J93">
        <v>6.3399999999999998E-2</v>
      </c>
      <c r="K93">
        <v>0</v>
      </c>
      <c r="L93">
        <v>9.7000000000000003E-2</v>
      </c>
      <c r="M93" t="s">
        <v>233</v>
      </c>
      <c r="N93">
        <v>404154</v>
      </c>
      <c r="O93" t="s">
        <v>100</v>
      </c>
      <c r="P93" t="s">
        <v>234</v>
      </c>
      <c r="Q93" t="s">
        <v>84</v>
      </c>
      <c r="R93">
        <v>404154</v>
      </c>
      <c r="S93">
        <v>12</v>
      </c>
      <c r="T93" t="s">
        <v>234</v>
      </c>
      <c r="U93">
        <v>2.43121149897331</v>
      </c>
      <c r="V93">
        <v>1</v>
      </c>
    </row>
    <row r="94" spans="1:22" x14ac:dyDescent="0.25">
      <c r="A94">
        <v>110</v>
      </c>
      <c r="B94" t="str">
        <f>CONCATENATE(N94,"_",O94)</f>
        <v>558054_18 months</v>
      </c>
      <c r="C94" t="s">
        <v>42</v>
      </c>
      <c r="D94">
        <v>10000</v>
      </c>
      <c r="E94">
        <v>0.29870000000000002</v>
      </c>
      <c r="F94">
        <v>6.1199999999999997E-2</v>
      </c>
      <c r="G94">
        <v>4.48E-2</v>
      </c>
      <c r="H94">
        <v>8.4699999999999998E-2</v>
      </c>
      <c r="I94">
        <v>0.33560000000000001</v>
      </c>
      <c r="J94">
        <v>6.6299999999999998E-2</v>
      </c>
      <c r="K94">
        <v>1.18E-2</v>
      </c>
      <c r="L94">
        <v>9.69E-2</v>
      </c>
      <c r="M94" t="s">
        <v>17</v>
      </c>
      <c r="N94">
        <v>558054</v>
      </c>
      <c r="O94" t="s">
        <v>32</v>
      </c>
      <c r="P94" t="s">
        <v>206</v>
      </c>
      <c r="Q94" t="s">
        <v>42</v>
      </c>
      <c r="R94">
        <v>558054</v>
      </c>
      <c r="S94">
        <v>12</v>
      </c>
      <c r="T94" t="s">
        <v>206</v>
      </c>
      <c r="U94">
        <v>59.630390143737202</v>
      </c>
      <c r="V94">
        <v>1</v>
      </c>
    </row>
    <row r="95" spans="1:22" x14ac:dyDescent="0.25">
      <c r="A95">
        <v>125</v>
      </c>
      <c r="B95" t="str">
        <f>CONCATENATE(N95,"_",O95)</f>
        <v>661064_Baseline</v>
      </c>
      <c r="C95" t="s">
        <v>108</v>
      </c>
      <c r="D95">
        <v>10000</v>
      </c>
      <c r="E95">
        <v>0.40129999999999999</v>
      </c>
      <c r="F95">
        <v>7.0300000000000001E-2</v>
      </c>
      <c r="G95">
        <v>4.9200000000000001E-2</v>
      </c>
      <c r="H95">
        <v>4.9700000000000001E-2</v>
      </c>
      <c r="I95">
        <v>0.29930000000000001</v>
      </c>
      <c r="J95">
        <v>3.3399999999999999E-2</v>
      </c>
      <c r="K95">
        <v>0</v>
      </c>
      <c r="L95">
        <v>9.6799999999999997E-2</v>
      </c>
      <c r="M95" t="s">
        <v>17</v>
      </c>
      <c r="N95">
        <v>661064</v>
      </c>
      <c r="O95" t="s">
        <v>100</v>
      </c>
      <c r="P95" t="s">
        <v>206</v>
      </c>
      <c r="Q95" t="s">
        <v>108</v>
      </c>
      <c r="R95">
        <v>661064</v>
      </c>
      <c r="S95">
        <v>11</v>
      </c>
      <c r="T95" t="s">
        <v>206</v>
      </c>
      <c r="U95">
        <v>12.188911704312099</v>
      </c>
      <c r="V95">
        <v>1</v>
      </c>
    </row>
    <row r="96" spans="1:22" x14ac:dyDescent="0.25">
      <c r="A96">
        <v>145</v>
      </c>
      <c r="B96" t="str">
        <f>CONCATENATE(N96,"_",O96)</f>
        <v>546758_3 months</v>
      </c>
      <c r="C96" t="s">
        <v>186</v>
      </c>
      <c r="D96">
        <v>10000</v>
      </c>
      <c r="E96">
        <v>0.3695</v>
      </c>
      <c r="F96">
        <v>7.8E-2</v>
      </c>
      <c r="G96">
        <v>2.1700000000000001E-2</v>
      </c>
      <c r="H96">
        <v>7.1499999999999994E-2</v>
      </c>
      <c r="I96">
        <v>0.34799999999999998</v>
      </c>
      <c r="J96">
        <v>1.4500000000000001E-2</v>
      </c>
      <c r="K96">
        <v>0</v>
      </c>
      <c r="L96">
        <v>9.6799999999999997E-2</v>
      </c>
      <c r="M96" t="s">
        <v>233</v>
      </c>
      <c r="N96">
        <v>546758</v>
      </c>
      <c r="O96" t="s">
        <v>115</v>
      </c>
      <c r="P96" t="s">
        <v>206</v>
      </c>
      <c r="Q96" t="s">
        <v>186</v>
      </c>
      <c r="R96">
        <v>546758</v>
      </c>
      <c r="S96">
        <v>8</v>
      </c>
      <c r="T96" t="s">
        <v>206</v>
      </c>
      <c r="U96">
        <v>30.258726899384001</v>
      </c>
      <c r="V96">
        <v>0</v>
      </c>
    </row>
    <row r="97" spans="1:22" x14ac:dyDescent="0.25">
      <c r="A97">
        <v>109</v>
      </c>
      <c r="B97" t="str">
        <f>CONCATENATE(N97,"_",O97)</f>
        <v>494195_6 months</v>
      </c>
      <c r="C97" t="s">
        <v>26</v>
      </c>
      <c r="D97">
        <v>10000</v>
      </c>
      <c r="E97">
        <v>0.2555</v>
      </c>
      <c r="F97">
        <v>0.15679999999999999</v>
      </c>
      <c r="G97">
        <v>7.4899999999999994E-2</v>
      </c>
      <c r="H97">
        <v>0.1638</v>
      </c>
      <c r="I97">
        <v>0.19570000000000001</v>
      </c>
      <c r="J97">
        <v>5.8700000000000002E-2</v>
      </c>
      <c r="K97">
        <v>0</v>
      </c>
      <c r="L97">
        <v>9.4600000000000004E-2</v>
      </c>
      <c r="M97" t="s">
        <v>17</v>
      </c>
      <c r="N97">
        <v>494195</v>
      </c>
      <c r="O97" t="s">
        <v>217</v>
      </c>
      <c r="P97" t="s">
        <v>234</v>
      </c>
      <c r="Q97" t="s">
        <v>26</v>
      </c>
      <c r="R97">
        <v>494195</v>
      </c>
      <c r="S97">
        <v>15</v>
      </c>
      <c r="T97" t="s">
        <v>234</v>
      </c>
      <c r="U97">
        <v>11.958932238193</v>
      </c>
      <c r="V97">
        <v>1</v>
      </c>
    </row>
    <row r="98" spans="1:22" x14ac:dyDescent="0.25">
      <c r="A98">
        <v>205</v>
      </c>
      <c r="B98" t="str">
        <f>CONCATENATE(N98,"_",O98)</f>
        <v>453691_18 months</v>
      </c>
      <c r="C98" t="s">
        <v>99</v>
      </c>
      <c r="D98">
        <v>10000</v>
      </c>
      <c r="E98">
        <v>0.46039999999999998</v>
      </c>
      <c r="F98">
        <v>0</v>
      </c>
      <c r="G98">
        <v>4.2000000000000003E-2</v>
      </c>
      <c r="H98">
        <v>7.8100000000000003E-2</v>
      </c>
      <c r="I98">
        <v>0.30259999999999998</v>
      </c>
      <c r="J98">
        <v>2.3199999999999998E-2</v>
      </c>
      <c r="K98">
        <v>0</v>
      </c>
      <c r="L98">
        <v>9.3700000000000006E-2</v>
      </c>
      <c r="M98" t="s">
        <v>233</v>
      </c>
      <c r="N98">
        <v>453691</v>
      </c>
      <c r="O98" t="s">
        <v>32</v>
      </c>
      <c r="P98" t="s">
        <v>206</v>
      </c>
      <c r="Q98" t="s">
        <v>99</v>
      </c>
      <c r="R98">
        <v>453691</v>
      </c>
      <c r="S98">
        <v>9</v>
      </c>
      <c r="T98" t="s">
        <v>206</v>
      </c>
      <c r="U98">
        <v>23.2936344969199</v>
      </c>
      <c r="V98">
        <v>0</v>
      </c>
    </row>
    <row r="99" spans="1:22" x14ac:dyDescent="0.25">
      <c r="A99">
        <v>189</v>
      </c>
      <c r="B99" t="str">
        <f>CONCATENATE(N99,"_",O99)</f>
        <v>437809_18 months</v>
      </c>
      <c r="C99" t="s">
        <v>189</v>
      </c>
      <c r="D99">
        <v>10000</v>
      </c>
      <c r="E99">
        <v>0.34449999999999997</v>
      </c>
      <c r="F99">
        <v>0.1321</v>
      </c>
      <c r="G99">
        <v>2.2100000000000002E-2</v>
      </c>
      <c r="H99">
        <v>0.10979999999999999</v>
      </c>
      <c r="I99">
        <v>0.2445</v>
      </c>
      <c r="J99">
        <v>5.3600000000000002E-2</v>
      </c>
      <c r="K99">
        <v>0</v>
      </c>
      <c r="L99">
        <v>9.3399999999999997E-2</v>
      </c>
      <c r="M99" t="s">
        <v>17</v>
      </c>
      <c r="N99">
        <v>437809</v>
      </c>
      <c r="O99" t="s">
        <v>32</v>
      </c>
      <c r="P99" t="s">
        <v>206</v>
      </c>
      <c r="Q99" t="s">
        <v>189</v>
      </c>
      <c r="R99">
        <v>437809</v>
      </c>
      <c r="S99">
        <v>14</v>
      </c>
      <c r="T99" t="s">
        <v>206</v>
      </c>
      <c r="U99">
        <v>29.995893223819301</v>
      </c>
      <c r="V99">
        <v>0</v>
      </c>
    </row>
    <row r="100" spans="1:22" x14ac:dyDescent="0.25">
      <c r="A100">
        <v>106</v>
      </c>
      <c r="B100" t="str">
        <f>CONCATENATE(N100,"_",O100)</f>
        <v>420795_Baseline</v>
      </c>
      <c r="C100" t="s">
        <v>122</v>
      </c>
      <c r="D100">
        <v>9922</v>
      </c>
      <c r="E100">
        <v>0.3821</v>
      </c>
      <c r="F100">
        <v>0.219</v>
      </c>
      <c r="G100">
        <v>8.7800000000000003E-2</v>
      </c>
      <c r="H100">
        <v>0</v>
      </c>
      <c r="I100">
        <v>0.218</v>
      </c>
      <c r="J100">
        <v>0</v>
      </c>
      <c r="K100">
        <v>0</v>
      </c>
      <c r="L100">
        <v>9.3100000000000002E-2</v>
      </c>
      <c r="M100" t="s">
        <v>233</v>
      </c>
      <c r="N100">
        <v>420795</v>
      </c>
      <c r="O100" t="s">
        <v>100</v>
      </c>
      <c r="P100" t="s">
        <v>206</v>
      </c>
      <c r="Q100" t="s">
        <v>122</v>
      </c>
      <c r="R100">
        <v>420795</v>
      </c>
      <c r="S100">
        <v>13</v>
      </c>
      <c r="T100" t="s">
        <v>206</v>
      </c>
      <c r="U100">
        <v>17.5441478439425</v>
      </c>
      <c r="V100">
        <v>1</v>
      </c>
    </row>
    <row r="101" spans="1:22" x14ac:dyDescent="0.25">
      <c r="A101">
        <v>173</v>
      </c>
      <c r="B101" t="str">
        <f>CONCATENATE(N101,"_",O101)</f>
        <v>307044_Baseline</v>
      </c>
      <c r="C101" t="s">
        <v>55</v>
      </c>
      <c r="D101">
        <v>10000</v>
      </c>
      <c r="E101">
        <v>0.40329999999999999</v>
      </c>
      <c r="F101">
        <v>4.5100000000000001E-2</v>
      </c>
      <c r="G101">
        <v>4.1799999999999997E-2</v>
      </c>
      <c r="H101">
        <v>6.1100000000000002E-2</v>
      </c>
      <c r="I101">
        <v>0.31690000000000002</v>
      </c>
      <c r="J101">
        <v>1.61E-2</v>
      </c>
      <c r="K101">
        <v>2.3199999999999998E-2</v>
      </c>
      <c r="L101">
        <v>9.2499999999999999E-2</v>
      </c>
      <c r="M101" t="s">
        <v>17</v>
      </c>
      <c r="N101">
        <v>307044</v>
      </c>
      <c r="O101" t="s">
        <v>100</v>
      </c>
      <c r="P101" t="s">
        <v>206</v>
      </c>
      <c r="Q101" t="s">
        <v>55</v>
      </c>
      <c r="R101">
        <v>307044</v>
      </c>
      <c r="S101">
        <v>13</v>
      </c>
      <c r="T101" t="s">
        <v>206</v>
      </c>
      <c r="U101">
        <v>16.854209445585202</v>
      </c>
      <c r="V101">
        <v>0</v>
      </c>
    </row>
    <row r="102" spans="1:22" x14ac:dyDescent="0.25">
      <c r="A102">
        <v>170</v>
      </c>
      <c r="B102" t="str">
        <f>CONCATENATE(N102,"_",O102)</f>
        <v>810421_3 months</v>
      </c>
      <c r="C102" t="s">
        <v>187</v>
      </c>
      <c r="D102">
        <v>2871</v>
      </c>
      <c r="E102">
        <v>0.29570000000000002</v>
      </c>
      <c r="F102">
        <v>8.4599999999999995E-2</v>
      </c>
      <c r="G102">
        <v>0</v>
      </c>
      <c r="H102">
        <v>0.19889999999999999</v>
      </c>
      <c r="I102">
        <v>0.25569999999999998</v>
      </c>
      <c r="J102">
        <v>7.3499999999999996E-2</v>
      </c>
      <c r="K102">
        <v>0</v>
      </c>
      <c r="L102">
        <v>9.1600000000000001E-2</v>
      </c>
      <c r="M102" t="s">
        <v>17</v>
      </c>
      <c r="N102">
        <v>810421</v>
      </c>
      <c r="O102" t="s">
        <v>115</v>
      </c>
      <c r="P102" t="s">
        <v>206</v>
      </c>
      <c r="Q102" t="s">
        <v>187</v>
      </c>
      <c r="R102">
        <v>810421</v>
      </c>
      <c r="S102">
        <v>44</v>
      </c>
      <c r="T102" t="s">
        <v>206</v>
      </c>
      <c r="U102">
        <v>24.509240246406598</v>
      </c>
      <c r="V102">
        <v>0</v>
      </c>
    </row>
    <row r="103" spans="1:22" x14ac:dyDescent="0.25">
      <c r="A103">
        <v>174</v>
      </c>
      <c r="B103" t="str">
        <f>CONCATENATE(N103,"_",O103)</f>
        <v>868815_Baseline</v>
      </c>
      <c r="C103" t="s">
        <v>71</v>
      </c>
      <c r="D103">
        <v>10000</v>
      </c>
      <c r="E103">
        <v>0.41820000000000002</v>
      </c>
      <c r="F103">
        <v>1.78E-2</v>
      </c>
      <c r="G103">
        <v>9.9500000000000005E-2</v>
      </c>
      <c r="H103">
        <v>4.87E-2</v>
      </c>
      <c r="I103">
        <v>0.29659999999999997</v>
      </c>
      <c r="J103">
        <v>2.7900000000000001E-2</v>
      </c>
      <c r="K103">
        <v>0</v>
      </c>
      <c r="L103">
        <v>9.1300000000000006E-2</v>
      </c>
      <c r="M103" t="s">
        <v>233</v>
      </c>
      <c r="N103">
        <v>868815</v>
      </c>
      <c r="O103" t="s">
        <v>100</v>
      </c>
      <c r="P103" t="s">
        <v>234</v>
      </c>
      <c r="Q103" t="s">
        <v>71</v>
      </c>
      <c r="R103">
        <v>868815</v>
      </c>
      <c r="S103">
        <v>13</v>
      </c>
      <c r="T103" t="s">
        <v>234</v>
      </c>
      <c r="U103">
        <v>3.0882956878850099</v>
      </c>
      <c r="V103">
        <v>1</v>
      </c>
    </row>
    <row r="104" spans="1:22" x14ac:dyDescent="0.25">
      <c r="A104">
        <v>178</v>
      </c>
      <c r="B104" t="str">
        <f>CONCATENATE(N104,"_",O104)</f>
        <v>697933_18 months</v>
      </c>
      <c r="C104" t="s">
        <v>203</v>
      </c>
      <c r="D104">
        <v>10000</v>
      </c>
      <c r="E104">
        <v>0.4299</v>
      </c>
      <c r="F104">
        <v>2.5700000000000001E-2</v>
      </c>
      <c r="G104">
        <v>5.04E-2</v>
      </c>
      <c r="H104">
        <v>5.5599999999999997E-2</v>
      </c>
      <c r="I104">
        <v>0.31440000000000001</v>
      </c>
      <c r="J104">
        <v>3.27E-2</v>
      </c>
      <c r="K104">
        <v>0</v>
      </c>
      <c r="L104">
        <v>9.1300000000000006E-2</v>
      </c>
      <c r="M104" t="s">
        <v>17</v>
      </c>
      <c r="N104">
        <v>697933</v>
      </c>
      <c r="O104" t="s">
        <v>32</v>
      </c>
      <c r="P104" t="s">
        <v>206</v>
      </c>
      <c r="Q104" t="s">
        <v>203</v>
      </c>
      <c r="R104">
        <v>697933</v>
      </c>
      <c r="S104">
        <v>15</v>
      </c>
      <c r="T104" t="s">
        <v>206</v>
      </c>
      <c r="U104">
        <v>36.271047227926097</v>
      </c>
      <c r="V104">
        <v>0</v>
      </c>
    </row>
    <row r="105" spans="1:22" x14ac:dyDescent="0.25">
      <c r="A105">
        <v>40</v>
      </c>
      <c r="B105" t="str">
        <f>CONCATENATE(N105,"_",O105)</f>
        <v>830318_6 months</v>
      </c>
      <c r="C105" t="s">
        <v>164</v>
      </c>
      <c r="D105">
        <v>10000</v>
      </c>
      <c r="E105">
        <v>0.15920000000000001</v>
      </c>
      <c r="F105">
        <v>0.20039999999999999</v>
      </c>
      <c r="G105">
        <v>0.1096</v>
      </c>
      <c r="H105">
        <v>0.24160000000000001</v>
      </c>
      <c r="I105">
        <v>0.16350000000000001</v>
      </c>
      <c r="J105">
        <v>3.6400000000000002E-2</v>
      </c>
      <c r="K105">
        <v>0</v>
      </c>
      <c r="L105">
        <v>8.9300000000000004E-2</v>
      </c>
      <c r="M105" t="s">
        <v>17</v>
      </c>
      <c r="N105">
        <v>830318</v>
      </c>
      <c r="O105" t="s">
        <v>217</v>
      </c>
      <c r="P105" t="s">
        <v>234</v>
      </c>
      <c r="Q105" t="s">
        <v>164</v>
      </c>
      <c r="R105">
        <v>830318</v>
      </c>
      <c r="S105">
        <v>15</v>
      </c>
      <c r="T105" t="s">
        <v>234</v>
      </c>
      <c r="U105">
        <v>12.1560574948665</v>
      </c>
      <c r="V105">
        <v>1</v>
      </c>
    </row>
    <row r="106" spans="1:22" x14ac:dyDescent="0.25">
      <c r="A106">
        <v>85</v>
      </c>
      <c r="B106" t="str">
        <f>CONCATENATE(N106,"_",O106)</f>
        <v>374602_3 months</v>
      </c>
      <c r="C106" t="s">
        <v>11</v>
      </c>
      <c r="D106">
        <v>10000</v>
      </c>
      <c r="E106">
        <v>0.46039999999999998</v>
      </c>
      <c r="F106">
        <v>5.0700000000000002E-2</v>
      </c>
      <c r="G106">
        <v>9.5399999999999999E-2</v>
      </c>
      <c r="H106">
        <v>8.1000000000000003E-2</v>
      </c>
      <c r="I106">
        <v>0.19070000000000001</v>
      </c>
      <c r="J106">
        <v>3.4200000000000001E-2</v>
      </c>
      <c r="K106">
        <v>0</v>
      </c>
      <c r="L106">
        <v>8.7599999999999997E-2</v>
      </c>
      <c r="M106" t="s">
        <v>17</v>
      </c>
      <c r="N106">
        <v>374602</v>
      </c>
      <c r="O106" t="s">
        <v>115</v>
      </c>
      <c r="P106" t="s">
        <v>234</v>
      </c>
      <c r="Q106" t="s">
        <v>11</v>
      </c>
      <c r="R106">
        <v>374602</v>
      </c>
      <c r="S106">
        <v>11</v>
      </c>
      <c r="T106" t="s">
        <v>234</v>
      </c>
      <c r="U106">
        <v>5.3552361396303896</v>
      </c>
      <c r="V106">
        <v>1</v>
      </c>
    </row>
    <row r="107" spans="1:22" x14ac:dyDescent="0.25">
      <c r="A107">
        <v>49</v>
      </c>
      <c r="B107" t="str">
        <f>CONCATENATE(N107,"_",O107)</f>
        <v>599693_18 months</v>
      </c>
      <c r="C107" t="s">
        <v>180</v>
      </c>
      <c r="D107">
        <v>10000</v>
      </c>
      <c r="E107">
        <v>0.34870000000000001</v>
      </c>
      <c r="F107">
        <v>1.6899999999999998E-2</v>
      </c>
      <c r="G107">
        <v>0.16839999999999999</v>
      </c>
      <c r="H107">
        <v>3.9899999999999998E-2</v>
      </c>
      <c r="I107">
        <v>0.31790000000000002</v>
      </c>
      <c r="J107">
        <v>2.1299999999999999E-2</v>
      </c>
      <c r="K107">
        <v>0</v>
      </c>
      <c r="L107">
        <v>8.6900000000000005E-2</v>
      </c>
      <c r="M107" t="s">
        <v>17</v>
      </c>
      <c r="N107">
        <v>599693</v>
      </c>
      <c r="O107" t="s">
        <v>32</v>
      </c>
      <c r="P107" t="s">
        <v>206</v>
      </c>
      <c r="Q107" t="s">
        <v>180</v>
      </c>
      <c r="R107">
        <v>599693</v>
      </c>
      <c r="S107">
        <v>24</v>
      </c>
      <c r="T107" t="s">
        <v>206</v>
      </c>
      <c r="U107">
        <v>42.184804928131399</v>
      </c>
      <c r="V107">
        <v>1</v>
      </c>
    </row>
    <row r="108" spans="1:22" x14ac:dyDescent="0.25">
      <c r="A108">
        <v>120</v>
      </c>
      <c r="B108" t="str">
        <f>CONCATENATE(N108,"_",O108)</f>
        <v>697933_Baseline</v>
      </c>
      <c r="C108" t="s">
        <v>158</v>
      </c>
      <c r="D108">
        <v>9944</v>
      </c>
      <c r="E108">
        <v>0.43790000000000001</v>
      </c>
      <c r="F108">
        <v>0</v>
      </c>
      <c r="G108">
        <v>5.2999999999999999E-2</v>
      </c>
      <c r="H108">
        <v>4.9200000000000001E-2</v>
      </c>
      <c r="I108">
        <v>0.3286</v>
      </c>
      <c r="J108">
        <v>4.4999999999999998E-2</v>
      </c>
      <c r="K108">
        <v>0</v>
      </c>
      <c r="L108">
        <v>8.6400000000000005E-2</v>
      </c>
      <c r="M108" t="s">
        <v>17</v>
      </c>
      <c r="N108">
        <v>697933</v>
      </c>
      <c r="O108" t="s">
        <v>100</v>
      </c>
      <c r="P108" t="s">
        <v>206</v>
      </c>
      <c r="Q108" t="s">
        <v>158</v>
      </c>
      <c r="R108">
        <v>697933</v>
      </c>
      <c r="S108">
        <v>15</v>
      </c>
      <c r="T108" t="s">
        <v>206</v>
      </c>
      <c r="U108">
        <v>36.271047227926097</v>
      </c>
      <c r="V108">
        <v>0</v>
      </c>
    </row>
    <row r="109" spans="1:22" x14ac:dyDescent="0.25">
      <c r="A109">
        <v>190</v>
      </c>
      <c r="B109" t="str">
        <f>CONCATENATE(N109,"_",O109)</f>
        <v>307044_6 months</v>
      </c>
      <c r="C109" t="s">
        <v>231</v>
      </c>
      <c r="D109">
        <v>9945</v>
      </c>
      <c r="E109">
        <v>0.48849999999999999</v>
      </c>
      <c r="F109">
        <v>6.2100000000000002E-2</v>
      </c>
      <c r="G109">
        <v>4.9399999999999999E-2</v>
      </c>
      <c r="H109">
        <v>5.0099999999999999E-2</v>
      </c>
      <c r="I109">
        <v>0.2152</v>
      </c>
      <c r="J109">
        <v>4.8800000000000003E-2</v>
      </c>
      <c r="K109">
        <v>0</v>
      </c>
      <c r="L109">
        <v>8.5999999999999993E-2</v>
      </c>
      <c r="M109" t="s">
        <v>17</v>
      </c>
      <c r="N109">
        <v>307044</v>
      </c>
      <c r="O109" t="s">
        <v>217</v>
      </c>
      <c r="P109" t="s">
        <v>206</v>
      </c>
      <c r="Q109" t="s">
        <v>231</v>
      </c>
      <c r="R109">
        <v>307044</v>
      </c>
      <c r="S109">
        <v>13</v>
      </c>
      <c r="T109" t="s">
        <v>206</v>
      </c>
      <c r="U109">
        <v>16.854209445585202</v>
      </c>
      <c r="V109">
        <v>0</v>
      </c>
    </row>
    <row r="110" spans="1:22" x14ac:dyDescent="0.25">
      <c r="A110">
        <v>187</v>
      </c>
      <c r="B110" t="str">
        <f>CONCATENATE(N110,"_",O110)</f>
        <v>846511_6 months</v>
      </c>
      <c r="C110" t="s">
        <v>174</v>
      </c>
      <c r="D110">
        <v>10000</v>
      </c>
      <c r="E110">
        <v>0.39660000000000001</v>
      </c>
      <c r="F110">
        <v>0</v>
      </c>
      <c r="G110">
        <v>2.7799999999999998E-2</v>
      </c>
      <c r="H110">
        <v>0.15959999999999999</v>
      </c>
      <c r="I110">
        <v>0.27889999999999998</v>
      </c>
      <c r="J110">
        <v>5.21E-2</v>
      </c>
      <c r="K110">
        <v>0</v>
      </c>
      <c r="L110">
        <v>8.5000000000000006E-2</v>
      </c>
      <c r="M110" t="s">
        <v>233</v>
      </c>
      <c r="N110">
        <v>846511</v>
      </c>
      <c r="O110" t="s">
        <v>217</v>
      </c>
      <c r="P110" t="s">
        <v>234</v>
      </c>
      <c r="Q110" t="s">
        <v>174</v>
      </c>
      <c r="R110">
        <v>846511</v>
      </c>
      <c r="S110">
        <v>8</v>
      </c>
      <c r="T110" t="s">
        <v>234</v>
      </c>
      <c r="U110">
        <v>9.4620123203285402</v>
      </c>
      <c r="V110">
        <v>1</v>
      </c>
    </row>
    <row r="111" spans="1:22" x14ac:dyDescent="0.25">
      <c r="A111">
        <v>147</v>
      </c>
      <c r="B111" t="str">
        <f>CONCATENATE(N111,"_",O111)</f>
        <v>548882_Baseline</v>
      </c>
      <c r="C111" t="s">
        <v>53</v>
      </c>
      <c r="D111">
        <v>10000</v>
      </c>
      <c r="E111">
        <v>0.43359999999999999</v>
      </c>
      <c r="F111">
        <v>7.0699999999999999E-2</v>
      </c>
      <c r="G111">
        <v>9.1999999999999998E-2</v>
      </c>
      <c r="H111">
        <v>0.1109</v>
      </c>
      <c r="I111">
        <v>0.16769999999999999</v>
      </c>
      <c r="J111">
        <v>4.1099999999999998E-2</v>
      </c>
      <c r="K111">
        <v>0</v>
      </c>
      <c r="L111">
        <v>8.4000000000000005E-2</v>
      </c>
      <c r="M111" t="s">
        <v>17</v>
      </c>
      <c r="N111">
        <v>548882</v>
      </c>
      <c r="O111" t="s">
        <v>100</v>
      </c>
      <c r="P111" t="s">
        <v>234</v>
      </c>
      <c r="Q111" t="s">
        <v>53</v>
      </c>
      <c r="R111">
        <v>548882</v>
      </c>
      <c r="S111">
        <v>8</v>
      </c>
      <c r="T111" t="s">
        <v>234</v>
      </c>
      <c r="U111">
        <v>18.135523613962999</v>
      </c>
      <c r="V111">
        <v>1</v>
      </c>
    </row>
    <row r="112" spans="1:22" x14ac:dyDescent="0.25">
      <c r="A112">
        <v>114</v>
      </c>
      <c r="B112" t="str">
        <f>CONCATENATE(N112,"_",O112)</f>
        <v>488675_6 months</v>
      </c>
      <c r="C112" t="s">
        <v>27</v>
      </c>
      <c r="D112">
        <v>10000</v>
      </c>
      <c r="E112">
        <v>0.26469999999999999</v>
      </c>
      <c r="F112">
        <v>0.1469</v>
      </c>
      <c r="G112">
        <v>0.1249</v>
      </c>
      <c r="H112">
        <v>9.2700000000000005E-2</v>
      </c>
      <c r="I112">
        <v>0.26700000000000002</v>
      </c>
      <c r="J112">
        <v>2.0799999999999999E-2</v>
      </c>
      <c r="K112">
        <v>0</v>
      </c>
      <c r="L112">
        <v>8.3000000000000004E-2</v>
      </c>
      <c r="M112" t="s">
        <v>17</v>
      </c>
      <c r="N112">
        <v>488675</v>
      </c>
      <c r="O112" t="s">
        <v>217</v>
      </c>
      <c r="P112" t="s">
        <v>234</v>
      </c>
      <c r="Q112" t="s">
        <v>27</v>
      </c>
      <c r="R112">
        <v>488675</v>
      </c>
      <c r="S112">
        <v>11</v>
      </c>
      <c r="T112" t="s">
        <v>234</v>
      </c>
      <c r="U112">
        <v>47.572895277207401</v>
      </c>
      <c r="V112">
        <v>0</v>
      </c>
    </row>
    <row r="113" spans="1:22" x14ac:dyDescent="0.25">
      <c r="A113">
        <v>58</v>
      </c>
      <c r="B113" t="str">
        <f>CONCATENATE(N113,"_",O113)</f>
        <v>699636_Baseline</v>
      </c>
      <c r="C113" t="s">
        <v>220</v>
      </c>
      <c r="D113">
        <v>10000</v>
      </c>
      <c r="E113">
        <v>0.39129999999999998</v>
      </c>
      <c r="F113">
        <v>3.78E-2</v>
      </c>
      <c r="G113">
        <v>0.25590000000000002</v>
      </c>
      <c r="H113">
        <v>5.0700000000000002E-2</v>
      </c>
      <c r="I113">
        <v>0.1225</v>
      </c>
      <c r="J113">
        <v>5.91E-2</v>
      </c>
      <c r="K113">
        <v>0</v>
      </c>
      <c r="L113">
        <v>8.2699999999999996E-2</v>
      </c>
      <c r="M113" t="s">
        <v>17</v>
      </c>
      <c r="N113">
        <v>699636</v>
      </c>
      <c r="O113" t="s">
        <v>100</v>
      </c>
      <c r="P113" t="s">
        <v>234</v>
      </c>
      <c r="Q113" t="s">
        <v>220</v>
      </c>
      <c r="R113">
        <v>699636</v>
      </c>
      <c r="S113">
        <v>13</v>
      </c>
      <c r="T113" t="s">
        <v>234</v>
      </c>
      <c r="U113">
        <v>3.5482546201231999</v>
      </c>
      <c r="V113">
        <v>1</v>
      </c>
    </row>
    <row r="114" spans="1:22" x14ac:dyDescent="0.25">
      <c r="A114">
        <v>98</v>
      </c>
      <c r="B114" t="str">
        <f>CONCATENATE(N114,"_",O114)</f>
        <v>715944_18 months</v>
      </c>
      <c r="C114" t="s">
        <v>184</v>
      </c>
      <c r="D114">
        <v>10000</v>
      </c>
      <c r="E114">
        <v>0.29620000000000002</v>
      </c>
      <c r="F114">
        <v>5.5899999999999998E-2</v>
      </c>
      <c r="G114">
        <v>0.17</v>
      </c>
      <c r="H114">
        <v>9.4299999999999995E-2</v>
      </c>
      <c r="I114">
        <v>0.28589999999999999</v>
      </c>
      <c r="J114">
        <v>1.5299999999999999E-2</v>
      </c>
      <c r="K114">
        <v>0</v>
      </c>
      <c r="L114">
        <v>8.2400000000000001E-2</v>
      </c>
      <c r="M114" t="s">
        <v>17</v>
      </c>
      <c r="N114">
        <v>715944</v>
      </c>
      <c r="O114" t="s">
        <v>32</v>
      </c>
      <c r="P114" t="s">
        <v>206</v>
      </c>
      <c r="Q114" t="s">
        <v>184</v>
      </c>
      <c r="R114">
        <v>715944</v>
      </c>
      <c r="S114">
        <v>11</v>
      </c>
      <c r="T114" t="s">
        <v>206</v>
      </c>
      <c r="U114">
        <v>66.431211498973298</v>
      </c>
      <c r="V114">
        <v>0</v>
      </c>
    </row>
    <row r="115" spans="1:22" x14ac:dyDescent="0.25">
      <c r="A115">
        <v>161</v>
      </c>
      <c r="B115" t="str">
        <f>CONCATENATE(N115,"_",O115)</f>
        <v>546758_6 months</v>
      </c>
      <c r="C115" t="s">
        <v>127</v>
      </c>
      <c r="D115">
        <v>10000</v>
      </c>
      <c r="E115">
        <v>0.39700000000000002</v>
      </c>
      <c r="F115">
        <v>9.0300000000000005E-2</v>
      </c>
      <c r="G115">
        <v>7.6899999999999996E-2</v>
      </c>
      <c r="H115">
        <v>0.1202</v>
      </c>
      <c r="I115">
        <v>0.21440000000000001</v>
      </c>
      <c r="J115">
        <v>1.9E-2</v>
      </c>
      <c r="K115">
        <v>0</v>
      </c>
      <c r="L115">
        <v>8.2199999999999995E-2</v>
      </c>
      <c r="M115" t="s">
        <v>233</v>
      </c>
      <c r="N115">
        <v>546758</v>
      </c>
      <c r="O115" t="s">
        <v>217</v>
      </c>
      <c r="P115" t="s">
        <v>206</v>
      </c>
      <c r="Q115" t="s">
        <v>127</v>
      </c>
      <c r="R115">
        <v>546758</v>
      </c>
      <c r="S115">
        <v>8</v>
      </c>
      <c r="T115" t="s">
        <v>206</v>
      </c>
      <c r="U115">
        <v>30.258726899384001</v>
      </c>
      <c r="V115">
        <v>0</v>
      </c>
    </row>
    <row r="116" spans="1:22" x14ac:dyDescent="0.25">
      <c r="A116">
        <v>5</v>
      </c>
      <c r="B116" t="str">
        <f>CONCATENATE(N116,"_",O116)</f>
        <v>341455_3 months</v>
      </c>
      <c r="C116" t="s">
        <v>75</v>
      </c>
      <c r="D116">
        <v>9960</v>
      </c>
      <c r="E116">
        <v>0.32429999999999998</v>
      </c>
      <c r="F116">
        <v>2.9399999999999999E-2</v>
      </c>
      <c r="G116">
        <v>8.48E-2</v>
      </c>
      <c r="H116">
        <v>6.0400000000000002E-2</v>
      </c>
      <c r="I116">
        <v>0.2833</v>
      </c>
      <c r="J116">
        <v>0.1356</v>
      </c>
      <c r="K116">
        <v>0</v>
      </c>
      <c r="L116">
        <v>8.2000000000000003E-2</v>
      </c>
      <c r="M116" t="s">
        <v>17</v>
      </c>
      <c r="N116">
        <v>341455</v>
      </c>
      <c r="O116" t="s">
        <v>115</v>
      </c>
      <c r="P116" t="s">
        <v>206</v>
      </c>
      <c r="Q116" t="s">
        <v>75</v>
      </c>
      <c r="R116">
        <v>341455</v>
      </c>
      <c r="S116">
        <v>19</v>
      </c>
      <c r="T116" t="s">
        <v>206</v>
      </c>
      <c r="U116">
        <v>88.147843942505105</v>
      </c>
      <c r="V116">
        <v>0</v>
      </c>
    </row>
    <row r="117" spans="1:22" x14ac:dyDescent="0.25">
      <c r="A117">
        <v>192</v>
      </c>
      <c r="B117" t="str">
        <f>CONCATENATE(N117,"_",O117)</f>
        <v>308094_6 months</v>
      </c>
      <c r="C117" t="s">
        <v>16</v>
      </c>
      <c r="D117">
        <v>10000</v>
      </c>
      <c r="E117">
        <v>0.22939999999999999</v>
      </c>
      <c r="F117">
        <v>4.1000000000000002E-2</v>
      </c>
      <c r="G117">
        <v>5.3100000000000001E-2</v>
      </c>
      <c r="H117">
        <v>0.1326</v>
      </c>
      <c r="I117">
        <v>0.40250000000000002</v>
      </c>
      <c r="J117">
        <v>5.9499999999999997E-2</v>
      </c>
      <c r="K117">
        <v>0</v>
      </c>
      <c r="L117">
        <v>8.1900000000000001E-2</v>
      </c>
      <c r="M117" t="s">
        <v>17</v>
      </c>
      <c r="N117">
        <v>308094</v>
      </c>
      <c r="O117" t="s">
        <v>217</v>
      </c>
      <c r="P117" t="s">
        <v>206</v>
      </c>
      <c r="Q117" t="s">
        <v>16</v>
      </c>
      <c r="R117">
        <v>308094</v>
      </c>
      <c r="S117">
        <v>10</v>
      </c>
      <c r="T117" t="s">
        <v>206</v>
      </c>
      <c r="U117">
        <v>21.618069815195099</v>
      </c>
      <c r="V117">
        <v>0</v>
      </c>
    </row>
    <row r="118" spans="1:22" x14ac:dyDescent="0.25">
      <c r="A118">
        <v>37</v>
      </c>
      <c r="B118" t="str">
        <f>CONCATENATE(N118,"_",O118)</f>
        <v>230915_3 months</v>
      </c>
      <c r="C118" t="s">
        <v>61</v>
      </c>
      <c r="D118">
        <v>10000</v>
      </c>
      <c r="E118">
        <v>0.41880000000000001</v>
      </c>
      <c r="F118">
        <v>0</v>
      </c>
      <c r="G118">
        <v>5.62E-2</v>
      </c>
      <c r="H118">
        <v>0.12659999999999999</v>
      </c>
      <c r="I118">
        <v>0.28470000000000001</v>
      </c>
      <c r="J118">
        <v>3.2800000000000003E-2</v>
      </c>
      <c r="K118">
        <v>0</v>
      </c>
      <c r="L118">
        <v>8.09E-2</v>
      </c>
      <c r="M118" t="s">
        <v>233</v>
      </c>
      <c r="N118">
        <v>230915</v>
      </c>
      <c r="O118" t="s">
        <v>115</v>
      </c>
      <c r="P118" t="s">
        <v>206</v>
      </c>
      <c r="Q118" t="s">
        <v>61</v>
      </c>
      <c r="R118">
        <v>230915</v>
      </c>
      <c r="S118">
        <v>11</v>
      </c>
      <c r="T118" t="s">
        <v>206</v>
      </c>
      <c r="U118">
        <v>71.622176591375805</v>
      </c>
      <c r="V118">
        <v>0</v>
      </c>
    </row>
    <row r="119" spans="1:22" x14ac:dyDescent="0.25">
      <c r="A119">
        <v>185</v>
      </c>
      <c r="B119" t="str">
        <f>CONCATENATE(N119,"_",O119)</f>
        <v>868815_3 months</v>
      </c>
      <c r="C119" t="s">
        <v>230</v>
      </c>
      <c r="D119">
        <v>10000</v>
      </c>
      <c r="E119">
        <v>0.4143</v>
      </c>
      <c r="F119">
        <v>2.41E-2</v>
      </c>
      <c r="G119">
        <v>8.8599999999999998E-2</v>
      </c>
      <c r="H119">
        <v>9.3200000000000005E-2</v>
      </c>
      <c r="I119">
        <v>0.26769999999999999</v>
      </c>
      <c r="J119">
        <v>3.1300000000000001E-2</v>
      </c>
      <c r="K119">
        <v>0</v>
      </c>
      <c r="L119">
        <v>8.0799999999999997E-2</v>
      </c>
      <c r="M119" t="s">
        <v>233</v>
      </c>
      <c r="N119">
        <v>868815</v>
      </c>
      <c r="O119" t="s">
        <v>115</v>
      </c>
      <c r="P119" t="s">
        <v>234</v>
      </c>
      <c r="Q119" t="s">
        <v>230</v>
      </c>
      <c r="R119">
        <v>868815</v>
      </c>
      <c r="S119">
        <v>13</v>
      </c>
      <c r="T119" t="s">
        <v>234</v>
      </c>
      <c r="U119">
        <v>3.0882956878850099</v>
      </c>
      <c r="V119">
        <v>1</v>
      </c>
    </row>
    <row r="120" spans="1:22" x14ac:dyDescent="0.25">
      <c r="A120">
        <v>26</v>
      </c>
      <c r="B120" t="str">
        <f>CONCATENATE(N120,"_",O120)</f>
        <v>444800_Baseline</v>
      </c>
      <c r="C120" t="s">
        <v>78</v>
      </c>
      <c r="D120">
        <v>10000</v>
      </c>
      <c r="E120">
        <v>0.36230000000000001</v>
      </c>
      <c r="F120">
        <v>0.1668</v>
      </c>
      <c r="G120">
        <v>5.9400000000000001E-2</v>
      </c>
      <c r="H120">
        <v>8.2799999999999999E-2</v>
      </c>
      <c r="I120">
        <v>0.18840000000000001</v>
      </c>
      <c r="J120">
        <v>5.9700000000000003E-2</v>
      </c>
      <c r="K120">
        <v>0</v>
      </c>
      <c r="L120">
        <v>8.0600000000000005E-2</v>
      </c>
      <c r="M120" t="s">
        <v>17</v>
      </c>
      <c r="N120">
        <v>444800</v>
      </c>
      <c r="O120" t="s">
        <v>100</v>
      </c>
      <c r="P120" t="s">
        <v>234</v>
      </c>
      <c r="Q120" t="s">
        <v>78</v>
      </c>
      <c r="R120">
        <v>444800</v>
      </c>
      <c r="S120">
        <v>14</v>
      </c>
      <c r="T120" t="s">
        <v>234</v>
      </c>
      <c r="U120">
        <v>54.932238193018499</v>
      </c>
      <c r="V120">
        <v>1</v>
      </c>
    </row>
    <row r="121" spans="1:22" x14ac:dyDescent="0.25">
      <c r="A121">
        <v>199</v>
      </c>
      <c r="B121" t="str">
        <f>CONCATENATE(N121,"_",O121)</f>
        <v>548882_18 months</v>
      </c>
      <c r="C121" t="s">
        <v>74</v>
      </c>
      <c r="D121">
        <v>10000</v>
      </c>
      <c r="E121">
        <v>0.2802</v>
      </c>
      <c r="F121">
        <v>0.1225</v>
      </c>
      <c r="G121">
        <v>0.13600000000000001</v>
      </c>
      <c r="H121">
        <v>0.19259999999999999</v>
      </c>
      <c r="I121">
        <v>0.17430000000000001</v>
      </c>
      <c r="J121">
        <v>0</v>
      </c>
      <c r="K121">
        <v>1.49E-2</v>
      </c>
      <c r="L121">
        <v>7.9500000000000001E-2</v>
      </c>
      <c r="M121" t="s">
        <v>17</v>
      </c>
      <c r="N121">
        <v>548882</v>
      </c>
      <c r="O121" t="s">
        <v>32</v>
      </c>
      <c r="P121" t="s">
        <v>234</v>
      </c>
      <c r="Q121" t="s">
        <v>74</v>
      </c>
      <c r="R121">
        <v>548882</v>
      </c>
      <c r="S121">
        <v>8</v>
      </c>
      <c r="T121" t="s">
        <v>234</v>
      </c>
      <c r="U121">
        <v>18.135523613962999</v>
      </c>
      <c r="V121">
        <v>1</v>
      </c>
    </row>
    <row r="122" spans="1:22" x14ac:dyDescent="0.25">
      <c r="A122">
        <v>54</v>
      </c>
      <c r="B122" t="str">
        <f>CONCATENATE(N122,"_",O122)</f>
        <v>700956_6 months</v>
      </c>
      <c r="C122" t="s">
        <v>165</v>
      </c>
      <c r="D122">
        <v>10000</v>
      </c>
      <c r="E122">
        <v>0.33539999999999998</v>
      </c>
      <c r="F122">
        <v>6.8599999999999994E-2</v>
      </c>
      <c r="G122">
        <v>9.2600000000000002E-2</v>
      </c>
      <c r="H122">
        <v>0.129</v>
      </c>
      <c r="I122">
        <v>0.27860000000000001</v>
      </c>
      <c r="J122">
        <v>1.6500000000000001E-2</v>
      </c>
      <c r="K122">
        <v>0</v>
      </c>
      <c r="L122">
        <v>7.9299999999999995E-2</v>
      </c>
      <c r="M122" t="s">
        <v>17</v>
      </c>
      <c r="N122">
        <v>700956</v>
      </c>
      <c r="O122" t="s">
        <v>217</v>
      </c>
      <c r="P122" t="s">
        <v>206</v>
      </c>
      <c r="Q122" t="s">
        <v>165</v>
      </c>
      <c r="R122">
        <v>700956</v>
      </c>
      <c r="S122">
        <v>15</v>
      </c>
      <c r="T122" t="s">
        <v>206</v>
      </c>
      <c r="U122">
        <v>21.782340862422998</v>
      </c>
      <c r="V122">
        <v>1</v>
      </c>
    </row>
    <row r="123" spans="1:22" x14ac:dyDescent="0.25">
      <c r="A123">
        <v>36</v>
      </c>
      <c r="B123" t="str">
        <f>CONCATENATE(N123,"_",O123)</f>
        <v>341455_18 months</v>
      </c>
      <c r="C123" t="s">
        <v>131</v>
      </c>
      <c r="D123">
        <v>9953</v>
      </c>
      <c r="E123">
        <v>0.38240000000000002</v>
      </c>
      <c r="F123">
        <v>5.7500000000000002E-2</v>
      </c>
      <c r="G123">
        <v>4.7300000000000002E-2</v>
      </c>
      <c r="H123">
        <v>3.32E-2</v>
      </c>
      <c r="I123">
        <v>0.34129999999999999</v>
      </c>
      <c r="J123">
        <v>5.96E-2</v>
      </c>
      <c r="K123">
        <v>0</v>
      </c>
      <c r="L123">
        <v>7.8799999999999995E-2</v>
      </c>
      <c r="M123" t="s">
        <v>17</v>
      </c>
      <c r="N123">
        <v>341455</v>
      </c>
      <c r="O123" t="s">
        <v>32</v>
      </c>
      <c r="P123" t="s">
        <v>206</v>
      </c>
      <c r="Q123" t="s">
        <v>131</v>
      </c>
      <c r="R123">
        <v>341455</v>
      </c>
      <c r="S123">
        <v>19</v>
      </c>
      <c r="T123" t="s">
        <v>206</v>
      </c>
      <c r="U123">
        <v>88.147843942505105</v>
      </c>
      <c r="V123">
        <v>0</v>
      </c>
    </row>
    <row r="124" spans="1:22" x14ac:dyDescent="0.25">
      <c r="A124">
        <v>112</v>
      </c>
      <c r="B124" t="str">
        <f>CONCATENATE(N124,"_",O124)</f>
        <v>420795_3 months</v>
      </c>
      <c r="C124" t="s">
        <v>123</v>
      </c>
      <c r="D124">
        <v>10000</v>
      </c>
      <c r="E124">
        <v>0.30680000000000002</v>
      </c>
      <c r="F124">
        <v>0.2253</v>
      </c>
      <c r="G124">
        <v>7.2400000000000006E-2</v>
      </c>
      <c r="H124">
        <v>0</v>
      </c>
      <c r="I124">
        <v>0.25659999999999999</v>
      </c>
      <c r="J124">
        <v>6.0199999999999997E-2</v>
      </c>
      <c r="K124">
        <v>0</v>
      </c>
      <c r="L124">
        <v>7.8700000000000006E-2</v>
      </c>
      <c r="M124" t="s">
        <v>233</v>
      </c>
      <c r="N124">
        <v>420795</v>
      </c>
      <c r="O124" t="s">
        <v>115</v>
      </c>
      <c r="P124" t="s">
        <v>206</v>
      </c>
      <c r="Q124" t="s">
        <v>123</v>
      </c>
      <c r="R124">
        <v>420795</v>
      </c>
      <c r="S124">
        <v>13</v>
      </c>
      <c r="T124" t="s">
        <v>206</v>
      </c>
      <c r="U124">
        <v>17.5441478439425</v>
      </c>
      <c r="V124">
        <v>1</v>
      </c>
    </row>
    <row r="125" spans="1:22" x14ac:dyDescent="0.25">
      <c r="A125">
        <v>200</v>
      </c>
      <c r="B125" t="str">
        <f>CONCATENATE(N125,"_",O125)</f>
        <v>268041_18 months</v>
      </c>
      <c r="C125" t="s">
        <v>142</v>
      </c>
      <c r="D125">
        <v>10000</v>
      </c>
      <c r="E125">
        <v>0.43309999999999998</v>
      </c>
      <c r="F125">
        <v>2.81E-2</v>
      </c>
      <c r="G125">
        <v>5.6399999999999999E-2</v>
      </c>
      <c r="H125">
        <v>0</v>
      </c>
      <c r="I125">
        <v>0.37109999999999999</v>
      </c>
      <c r="J125">
        <v>3.5200000000000002E-2</v>
      </c>
      <c r="K125">
        <v>0</v>
      </c>
      <c r="L125">
        <v>7.6100000000000001E-2</v>
      </c>
      <c r="M125" t="s">
        <v>17</v>
      </c>
      <c r="N125">
        <v>268041</v>
      </c>
      <c r="O125" t="s">
        <v>32</v>
      </c>
      <c r="P125" t="s">
        <v>206</v>
      </c>
      <c r="Q125" t="s">
        <v>142</v>
      </c>
      <c r="R125">
        <v>268041</v>
      </c>
      <c r="S125">
        <v>14</v>
      </c>
      <c r="T125" t="s">
        <v>206</v>
      </c>
      <c r="U125">
        <v>23.457905544147799</v>
      </c>
      <c r="V125">
        <v>0</v>
      </c>
    </row>
    <row r="126" spans="1:22" x14ac:dyDescent="0.25">
      <c r="A126">
        <v>55</v>
      </c>
      <c r="B126" t="str">
        <f>CONCATENATE(N126,"_",O126)</f>
        <v>873459_Baseline</v>
      </c>
      <c r="C126" t="s">
        <v>132</v>
      </c>
      <c r="D126">
        <v>10000</v>
      </c>
      <c r="E126">
        <v>0.4128</v>
      </c>
      <c r="F126">
        <v>7.3599999999999999E-2</v>
      </c>
      <c r="G126">
        <v>0.1109</v>
      </c>
      <c r="H126">
        <v>5.6399999999999999E-2</v>
      </c>
      <c r="I126">
        <v>0.2369</v>
      </c>
      <c r="J126">
        <v>3.3500000000000002E-2</v>
      </c>
      <c r="K126">
        <v>0</v>
      </c>
      <c r="L126">
        <v>7.5899999999999995E-2</v>
      </c>
      <c r="M126" t="s">
        <v>17</v>
      </c>
      <c r="N126">
        <v>873459</v>
      </c>
      <c r="O126" t="s">
        <v>100</v>
      </c>
      <c r="P126" t="s">
        <v>234</v>
      </c>
      <c r="Q126" t="s">
        <v>132</v>
      </c>
      <c r="R126">
        <v>873459</v>
      </c>
      <c r="S126">
        <v>15</v>
      </c>
      <c r="T126" t="s">
        <v>234</v>
      </c>
      <c r="U126">
        <v>11.597535934291599</v>
      </c>
      <c r="V126">
        <v>1</v>
      </c>
    </row>
    <row r="127" spans="1:22" x14ac:dyDescent="0.25">
      <c r="A127">
        <v>69</v>
      </c>
      <c r="B127" t="str">
        <f>CONCATENATE(N127,"_",O127)</f>
        <v>873459_6 months</v>
      </c>
      <c r="C127" t="s">
        <v>24</v>
      </c>
      <c r="D127">
        <v>9928</v>
      </c>
      <c r="E127">
        <v>0.3649</v>
      </c>
      <c r="F127">
        <v>4.9399999999999999E-2</v>
      </c>
      <c r="G127">
        <v>7.7399999999999997E-2</v>
      </c>
      <c r="H127">
        <v>6.8099999999999994E-2</v>
      </c>
      <c r="I127">
        <v>0.3644</v>
      </c>
      <c r="J127">
        <v>0</v>
      </c>
      <c r="K127">
        <v>0</v>
      </c>
      <c r="L127">
        <v>7.5800000000000006E-2</v>
      </c>
      <c r="M127" t="s">
        <v>17</v>
      </c>
      <c r="N127">
        <v>873459</v>
      </c>
      <c r="O127" t="s">
        <v>217</v>
      </c>
      <c r="P127" t="s">
        <v>234</v>
      </c>
      <c r="Q127" t="s">
        <v>24</v>
      </c>
      <c r="R127">
        <v>873459</v>
      </c>
      <c r="S127">
        <v>15</v>
      </c>
      <c r="T127" t="s">
        <v>234</v>
      </c>
      <c r="U127">
        <v>11.597535934291599</v>
      </c>
      <c r="V127">
        <v>1</v>
      </c>
    </row>
    <row r="128" spans="1:22" x14ac:dyDescent="0.25">
      <c r="A128">
        <v>15</v>
      </c>
      <c r="B128" t="str">
        <f>CONCATENATE(N128,"_",O128)</f>
        <v>684007_Baseline</v>
      </c>
      <c r="C128" t="s">
        <v>60</v>
      </c>
      <c r="D128">
        <v>10000</v>
      </c>
      <c r="E128">
        <v>0.3468</v>
      </c>
      <c r="F128">
        <v>3.0200000000000001E-2</v>
      </c>
      <c r="G128">
        <v>0.2656</v>
      </c>
      <c r="H128">
        <v>7.51E-2</v>
      </c>
      <c r="I128">
        <v>0.1857</v>
      </c>
      <c r="J128">
        <v>2.1000000000000001E-2</v>
      </c>
      <c r="K128">
        <v>0</v>
      </c>
      <c r="L128">
        <v>7.5600000000000001E-2</v>
      </c>
      <c r="M128" t="s">
        <v>17</v>
      </c>
      <c r="N128">
        <v>684007</v>
      </c>
      <c r="O128" t="s">
        <v>100</v>
      </c>
      <c r="P128" t="s">
        <v>206</v>
      </c>
      <c r="Q128" t="s">
        <v>60</v>
      </c>
      <c r="R128">
        <v>684007</v>
      </c>
      <c r="S128">
        <v>20</v>
      </c>
      <c r="T128" t="s">
        <v>206</v>
      </c>
      <c r="U128">
        <v>24.410677618069801</v>
      </c>
      <c r="V128">
        <v>1</v>
      </c>
    </row>
    <row r="129" spans="1:22" x14ac:dyDescent="0.25">
      <c r="A129">
        <v>61</v>
      </c>
      <c r="B129" t="str">
        <f>CONCATENATE(N129,"_",O129)</f>
        <v>715944_3 months</v>
      </c>
      <c r="C129" t="s">
        <v>38</v>
      </c>
      <c r="D129">
        <v>10000</v>
      </c>
      <c r="E129">
        <v>0.29859999999999998</v>
      </c>
      <c r="F129">
        <v>4.6399999999999997E-2</v>
      </c>
      <c r="G129">
        <v>6.3899999999999998E-2</v>
      </c>
      <c r="H129">
        <v>6.4799999999999996E-2</v>
      </c>
      <c r="I129">
        <v>0.40110000000000001</v>
      </c>
      <c r="J129">
        <v>1.5100000000000001E-2</v>
      </c>
      <c r="K129">
        <v>3.5099999999999999E-2</v>
      </c>
      <c r="L129">
        <v>7.4999999999999997E-2</v>
      </c>
      <c r="M129" t="s">
        <v>17</v>
      </c>
      <c r="N129">
        <v>715944</v>
      </c>
      <c r="O129" t="s">
        <v>115</v>
      </c>
      <c r="P129" t="s">
        <v>206</v>
      </c>
      <c r="Q129" t="s">
        <v>38</v>
      </c>
      <c r="R129">
        <v>715944</v>
      </c>
      <c r="S129">
        <v>11</v>
      </c>
      <c r="T129" t="s">
        <v>206</v>
      </c>
      <c r="U129">
        <v>66.431211498973298</v>
      </c>
      <c r="V129">
        <v>0</v>
      </c>
    </row>
    <row r="130" spans="1:22" x14ac:dyDescent="0.25">
      <c r="A130">
        <v>67</v>
      </c>
      <c r="B130" t="str">
        <f>CONCATENATE(N130,"_",O130)</f>
        <v>715944_6 months</v>
      </c>
      <c r="C130" t="s">
        <v>62</v>
      </c>
      <c r="D130">
        <v>10000</v>
      </c>
      <c r="E130">
        <v>0.25180000000000002</v>
      </c>
      <c r="F130">
        <v>2.5899999999999999E-2</v>
      </c>
      <c r="G130">
        <v>0.215</v>
      </c>
      <c r="H130">
        <v>9.74E-2</v>
      </c>
      <c r="I130">
        <v>0.31130000000000002</v>
      </c>
      <c r="J130">
        <v>2.3800000000000002E-2</v>
      </c>
      <c r="K130">
        <v>0</v>
      </c>
      <c r="L130">
        <v>7.4800000000000005E-2</v>
      </c>
      <c r="M130" t="s">
        <v>17</v>
      </c>
      <c r="N130">
        <v>715944</v>
      </c>
      <c r="O130" t="s">
        <v>217</v>
      </c>
      <c r="P130" t="s">
        <v>206</v>
      </c>
      <c r="Q130" t="s">
        <v>62</v>
      </c>
      <c r="R130">
        <v>715944</v>
      </c>
      <c r="S130">
        <v>11</v>
      </c>
      <c r="T130" t="s">
        <v>206</v>
      </c>
      <c r="U130">
        <v>66.431211498973298</v>
      </c>
      <c r="V130">
        <v>0</v>
      </c>
    </row>
    <row r="131" spans="1:22" x14ac:dyDescent="0.25">
      <c r="A131">
        <v>113</v>
      </c>
      <c r="B131" t="str">
        <f>CONCATENATE(N131,"_",O131)</f>
        <v>865454_Baseline</v>
      </c>
      <c r="C131" t="s">
        <v>124</v>
      </c>
      <c r="D131">
        <v>9948</v>
      </c>
      <c r="E131">
        <v>0.37809999999999999</v>
      </c>
      <c r="F131">
        <v>5.1499999999999997E-2</v>
      </c>
      <c r="G131">
        <v>6.8400000000000002E-2</v>
      </c>
      <c r="H131">
        <v>6.0299999999999999E-2</v>
      </c>
      <c r="I131">
        <v>0.36709999999999998</v>
      </c>
      <c r="J131">
        <v>0</v>
      </c>
      <c r="K131">
        <v>0</v>
      </c>
      <c r="L131">
        <v>7.4700000000000003E-2</v>
      </c>
      <c r="M131" t="s">
        <v>17</v>
      </c>
      <c r="N131">
        <v>865454</v>
      </c>
      <c r="O131" t="s">
        <v>100</v>
      </c>
      <c r="P131" t="s">
        <v>206</v>
      </c>
      <c r="Q131" t="s">
        <v>124</v>
      </c>
      <c r="R131">
        <v>865454</v>
      </c>
      <c r="S131">
        <v>9</v>
      </c>
      <c r="T131" t="s">
        <v>206</v>
      </c>
      <c r="U131">
        <v>33.445585215605703</v>
      </c>
      <c r="V131">
        <v>1</v>
      </c>
    </row>
    <row r="132" spans="1:22" x14ac:dyDescent="0.25">
      <c r="A132">
        <v>68</v>
      </c>
      <c r="B132" t="str">
        <f>CONCATENATE(N132,"_",O132)</f>
        <v>699636_3 months</v>
      </c>
      <c r="C132" t="s">
        <v>39</v>
      </c>
      <c r="D132">
        <v>10000</v>
      </c>
      <c r="E132">
        <v>0.39050000000000001</v>
      </c>
      <c r="F132">
        <v>0.1321</v>
      </c>
      <c r="G132">
        <v>0.1321</v>
      </c>
      <c r="H132">
        <v>0.1285</v>
      </c>
      <c r="I132">
        <v>6.59E-2</v>
      </c>
      <c r="J132">
        <v>6.3600000000000004E-2</v>
      </c>
      <c r="K132">
        <v>1.3299999999999999E-2</v>
      </c>
      <c r="L132">
        <v>7.3999999999999996E-2</v>
      </c>
      <c r="M132" t="s">
        <v>17</v>
      </c>
      <c r="N132">
        <v>699636</v>
      </c>
      <c r="O132" t="s">
        <v>115</v>
      </c>
      <c r="P132" t="s">
        <v>234</v>
      </c>
      <c r="Q132" t="s">
        <v>39</v>
      </c>
      <c r="R132">
        <v>699636</v>
      </c>
      <c r="S132">
        <v>13</v>
      </c>
      <c r="T132" t="s">
        <v>234</v>
      </c>
      <c r="U132">
        <v>3.5482546201231999</v>
      </c>
      <c r="V132">
        <v>1</v>
      </c>
    </row>
    <row r="133" spans="1:22" x14ac:dyDescent="0.25">
      <c r="A133">
        <v>31</v>
      </c>
      <c r="B133" t="str">
        <f>CONCATENATE(N133,"_",O133)</f>
        <v>700956_Baseline</v>
      </c>
      <c r="C133" t="s">
        <v>146</v>
      </c>
      <c r="D133">
        <v>9926</v>
      </c>
      <c r="E133">
        <v>0.35549999999999998</v>
      </c>
      <c r="F133">
        <v>0</v>
      </c>
      <c r="G133">
        <v>2.1600000000000001E-2</v>
      </c>
      <c r="H133">
        <v>8.6099999999999996E-2</v>
      </c>
      <c r="I133">
        <v>0.4627</v>
      </c>
      <c r="J133">
        <v>0</v>
      </c>
      <c r="K133">
        <v>0</v>
      </c>
      <c r="L133">
        <v>7.3999999999999996E-2</v>
      </c>
      <c r="M133" t="s">
        <v>17</v>
      </c>
      <c r="N133">
        <v>700956</v>
      </c>
      <c r="O133" t="s">
        <v>100</v>
      </c>
      <c r="P133" t="s">
        <v>206</v>
      </c>
      <c r="Q133" t="s">
        <v>146</v>
      </c>
      <c r="R133">
        <v>700956</v>
      </c>
      <c r="S133">
        <v>15</v>
      </c>
      <c r="T133" t="s">
        <v>206</v>
      </c>
      <c r="U133">
        <v>21.782340862422998</v>
      </c>
      <c r="V133">
        <v>1</v>
      </c>
    </row>
    <row r="134" spans="1:22" x14ac:dyDescent="0.25">
      <c r="A134">
        <v>108</v>
      </c>
      <c r="B134" t="str">
        <f>CONCATENATE(N134,"_",O134)</f>
        <v>488675_3 months</v>
      </c>
      <c r="C134" t="s">
        <v>81</v>
      </c>
      <c r="D134">
        <v>9911</v>
      </c>
      <c r="E134">
        <v>0.3075</v>
      </c>
      <c r="F134">
        <v>0.12809999999999999</v>
      </c>
      <c r="G134">
        <v>9.2700000000000005E-2</v>
      </c>
      <c r="H134">
        <v>7.9000000000000001E-2</v>
      </c>
      <c r="I134">
        <v>0.3024</v>
      </c>
      <c r="J134">
        <v>0</v>
      </c>
      <c r="K134">
        <v>1.72E-2</v>
      </c>
      <c r="L134">
        <v>7.3099999999999998E-2</v>
      </c>
      <c r="M134" t="s">
        <v>17</v>
      </c>
      <c r="N134">
        <v>488675</v>
      </c>
      <c r="O134" t="s">
        <v>115</v>
      </c>
      <c r="P134" t="s">
        <v>234</v>
      </c>
      <c r="Q134" t="s">
        <v>81</v>
      </c>
      <c r="R134">
        <v>488675</v>
      </c>
      <c r="S134">
        <v>11</v>
      </c>
      <c r="T134" t="s">
        <v>234</v>
      </c>
      <c r="U134">
        <v>47.572895277207401</v>
      </c>
      <c r="V134">
        <v>0</v>
      </c>
    </row>
    <row r="135" spans="1:22" x14ac:dyDescent="0.25">
      <c r="A135">
        <v>56</v>
      </c>
      <c r="B135" t="str">
        <f>CONCATENATE(N135,"_",O135)</f>
        <v>369952_6 months</v>
      </c>
      <c r="C135" t="s">
        <v>79</v>
      </c>
      <c r="D135">
        <v>10000</v>
      </c>
      <c r="E135">
        <v>0.308</v>
      </c>
      <c r="F135">
        <v>7.4800000000000005E-2</v>
      </c>
      <c r="G135">
        <v>3.8399999999999997E-2</v>
      </c>
      <c r="H135">
        <v>3.7600000000000001E-2</v>
      </c>
      <c r="I135">
        <v>0.40400000000000003</v>
      </c>
      <c r="J135">
        <v>6.54E-2</v>
      </c>
      <c r="K135">
        <v>0</v>
      </c>
      <c r="L135">
        <v>7.1800000000000003E-2</v>
      </c>
      <c r="M135" t="s">
        <v>17</v>
      </c>
      <c r="N135">
        <v>369952</v>
      </c>
      <c r="O135" t="s">
        <v>217</v>
      </c>
      <c r="P135" t="s">
        <v>206</v>
      </c>
      <c r="Q135" t="s">
        <v>79</v>
      </c>
      <c r="R135">
        <v>369952</v>
      </c>
      <c r="S135">
        <v>12</v>
      </c>
      <c r="T135" t="s">
        <v>206</v>
      </c>
      <c r="U135">
        <v>35.975359342915802</v>
      </c>
      <c r="V135">
        <v>0</v>
      </c>
    </row>
    <row r="136" spans="1:22" x14ac:dyDescent="0.25">
      <c r="A136">
        <v>47</v>
      </c>
      <c r="B136" t="str">
        <f>CONCATENATE(N136,"_",O136)</f>
        <v>230915_6 months</v>
      </c>
      <c r="C136" t="s">
        <v>179</v>
      </c>
      <c r="D136">
        <v>9904</v>
      </c>
      <c r="E136">
        <v>0.41670000000000001</v>
      </c>
      <c r="F136">
        <v>2.2100000000000002E-2</v>
      </c>
      <c r="G136">
        <v>7.0199999999999999E-2</v>
      </c>
      <c r="H136">
        <v>0.13969999999999999</v>
      </c>
      <c r="I136">
        <v>0.23250000000000001</v>
      </c>
      <c r="J136">
        <v>4.8899999999999999E-2</v>
      </c>
      <c r="K136">
        <v>0</v>
      </c>
      <c r="L136">
        <v>6.9900000000000004E-2</v>
      </c>
      <c r="M136" t="s">
        <v>233</v>
      </c>
      <c r="N136">
        <v>230915</v>
      </c>
      <c r="O136" t="s">
        <v>217</v>
      </c>
      <c r="P136" t="s">
        <v>206</v>
      </c>
      <c r="Q136" t="s">
        <v>179</v>
      </c>
      <c r="R136">
        <v>230915</v>
      </c>
      <c r="S136">
        <v>11</v>
      </c>
      <c r="T136" t="s">
        <v>206</v>
      </c>
      <c r="U136">
        <v>71.622176591375805</v>
      </c>
      <c r="V136">
        <v>0</v>
      </c>
    </row>
    <row r="137" spans="1:22" x14ac:dyDescent="0.25">
      <c r="A137">
        <v>149</v>
      </c>
      <c r="B137" t="str">
        <f>CONCATENATE(N137,"_",O137)</f>
        <v>420795_18 months</v>
      </c>
      <c r="C137" t="s">
        <v>85</v>
      </c>
      <c r="D137">
        <v>9931</v>
      </c>
      <c r="E137">
        <v>0.32940000000000003</v>
      </c>
      <c r="F137">
        <v>0.2319</v>
      </c>
      <c r="G137">
        <v>7.7100000000000002E-2</v>
      </c>
      <c r="H137">
        <v>3.8399999999999997E-2</v>
      </c>
      <c r="I137">
        <v>0.254</v>
      </c>
      <c r="J137">
        <v>0</v>
      </c>
      <c r="K137">
        <v>0</v>
      </c>
      <c r="L137">
        <v>6.93E-2</v>
      </c>
      <c r="M137" t="s">
        <v>233</v>
      </c>
      <c r="N137">
        <v>420795</v>
      </c>
      <c r="O137" t="s">
        <v>32</v>
      </c>
      <c r="P137" t="s">
        <v>206</v>
      </c>
      <c r="Q137" t="s">
        <v>85</v>
      </c>
      <c r="R137">
        <v>420795</v>
      </c>
      <c r="S137">
        <v>13</v>
      </c>
      <c r="T137" t="s">
        <v>206</v>
      </c>
      <c r="U137">
        <v>17.5441478439425</v>
      </c>
      <c r="V137">
        <v>1</v>
      </c>
    </row>
    <row r="138" spans="1:22" x14ac:dyDescent="0.25">
      <c r="A138">
        <v>162</v>
      </c>
      <c r="B138" t="str">
        <f>CONCATENATE(N138,"_",O138)</f>
        <v>268041_3 months</v>
      </c>
      <c r="C138" t="s">
        <v>69</v>
      </c>
      <c r="D138">
        <v>10000</v>
      </c>
      <c r="E138">
        <v>0.37769999999999998</v>
      </c>
      <c r="F138">
        <v>0.1464</v>
      </c>
      <c r="G138">
        <v>6.6000000000000003E-2</v>
      </c>
      <c r="H138">
        <v>7.0400000000000004E-2</v>
      </c>
      <c r="I138">
        <v>0.2082</v>
      </c>
      <c r="J138">
        <v>6.3299999999999995E-2</v>
      </c>
      <c r="K138">
        <v>0</v>
      </c>
      <c r="L138">
        <v>6.8000000000000005E-2</v>
      </c>
      <c r="M138" t="s">
        <v>17</v>
      </c>
      <c r="N138">
        <v>268041</v>
      </c>
      <c r="O138" t="s">
        <v>115</v>
      </c>
      <c r="P138" t="s">
        <v>206</v>
      </c>
      <c r="Q138" t="s">
        <v>69</v>
      </c>
      <c r="R138">
        <v>268041</v>
      </c>
      <c r="S138">
        <v>14</v>
      </c>
      <c r="T138" t="s">
        <v>206</v>
      </c>
      <c r="U138">
        <v>23.457905544147799</v>
      </c>
      <c r="V138">
        <v>0</v>
      </c>
    </row>
    <row r="139" spans="1:22" x14ac:dyDescent="0.25">
      <c r="A139">
        <v>142</v>
      </c>
      <c r="B139" t="str">
        <f>CONCATENATE(N139,"_",O139)</f>
        <v>251760_Baseline</v>
      </c>
      <c r="C139" t="s">
        <v>83</v>
      </c>
      <c r="D139">
        <v>9912</v>
      </c>
      <c r="E139">
        <v>0.37619999999999998</v>
      </c>
      <c r="F139">
        <v>5.0999999999999997E-2</v>
      </c>
      <c r="G139">
        <v>2.8299999999999999E-2</v>
      </c>
      <c r="H139">
        <v>3.8800000000000001E-2</v>
      </c>
      <c r="I139">
        <v>0.439</v>
      </c>
      <c r="J139">
        <v>0</v>
      </c>
      <c r="K139">
        <v>0</v>
      </c>
      <c r="L139">
        <v>6.6600000000000006E-2</v>
      </c>
      <c r="M139" t="s">
        <v>17</v>
      </c>
      <c r="N139">
        <v>251760</v>
      </c>
      <c r="O139" t="s">
        <v>100</v>
      </c>
      <c r="P139" t="s">
        <v>206</v>
      </c>
      <c r="Q139" t="s">
        <v>83</v>
      </c>
      <c r="R139">
        <v>251760</v>
      </c>
      <c r="S139">
        <v>15</v>
      </c>
      <c r="T139" t="s">
        <v>206</v>
      </c>
      <c r="U139">
        <v>18.398357289527699</v>
      </c>
      <c r="V139">
        <v>1</v>
      </c>
    </row>
    <row r="140" spans="1:22" x14ac:dyDescent="0.25">
      <c r="A140">
        <v>169</v>
      </c>
      <c r="B140" t="str">
        <f>CONCATENATE(N140,"_",O140)</f>
        <v>548882_6 months</v>
      </c>
      <c r="C140" t="s">
        <v>94</v>
      </c>
      <c r="D140">
        <v>10000</v>
      </c>
      <c r="E140">
        <v>0.40139999999999998</v>
      </c>
      <c r="F140">
        <v>7.2400000000000006E-2</v>
      </c>
      <c r="G140">
        <v>5.8799999999999998E-2</v>
      </c>
      <c r="H140">
        <v>9.9000000000000005E-2</v>
      </c>
      <c r="I140">
        <v>0.2545</v>
      </c>
      <c r="J140">
        <v>3.4200000000000001E-2</v>
      </c>
      <c r="K140">
        <v>1.3100000000000001E-2</v>
      </c>
      <c r="L140">
        <v>6.6600000000000006E-2</v>
      </c>
      <c r="M140" t="s">
        <v>17</v>
      </c>
      <c r="N140">
        <v>548882</v>
      </c>
      <c r="O140" t="s">
        <v>217</v>
      </c>
      <c r="P140" t="s">
        <v>234</v>
      </c>
      <c r="Q140" t="s">
        <v>94</v>
      </c>
      <c r="R140">
        <v>548882</v>
      </c>
      <c r="S140">
        <v>8</v>
      </c>
      <c r="T140" t="s">
        <v>234</v>
      </c>
      <c r="U140">
        <v>18.135523613962999</v>
      </c>
      <c r="V140">
        <v>1</v>
      </c>
    </row>
    <row r="141" spans="1:22" x14ac:dyDescent="0.25">
      <c r="A141">
        <v>129</v>
      </c>
      <c r="B141" t="str">
        <f>CONCATENATE(N141,"_",O141)</f>
        <v>437809_Baseline</v>
      </c>
      <c r="C141" t="s">
        <v>198</v>
      </c>
      <c r="D141">
        <v>10000</v>
      </c>
      <c r="E141">
        <v>0.29559999999999997</v>
      </c>
      <c r="F141">
        <v>8.77E-2</v>
      </c>
      <c r="G141">
        <v>0.1172</v>
      </c>
      <c r="H141">
        <v>0.1149</v>
      </c>
      <c r="I141">
        <v>0.20899999999999999</v>
      </c>
      <c r="J141">
        <v>3.7400000000000003E-2</v>
      </c>
      <c r="K141">
        <v>7.2499999999999995E-2</v>
      </c>
      <c r="L141">
        <v>6.5699999999999995E-2</v>
      </c>
      <c r="M141" t="s">
        <v>17</v>
      </c>
      <c r="N141">
        <v>437809</v>
      </c>
      <c r="O141" t="s">
        <v>100</v>
      </c>
      <c r="P141" t="s">
        <v>206</v>
      </c>
      <c r="Q141" t="s">
        <v>198</v>
      </c>
      <c r="R141">
        <v>437809</v>
      </c>
      <c r="S141">
        <v>14</v>
      </c>
      <c r="T141" t="s">
        <v>206</v>
      </c>
      <c r="U141">
        <v>29.995893223819301</v>
      </c>
      <c r="V141">
        <v>0</v>
      </c>
    </row>
    <row r="142" spans="1:22" x14ac:dyDescent="0.25">
      <c r="A142">
        <v>159</v>
      </c>
      <c r="B142" t="str">
        <f>CONCATENATE(N142,"_",O142)</f>
        <v>865454_18 months</v>
      </c>
      <c r="C142" t="s">
        <v>140</v>
      </c>
      <c r="D142">
        <v>10000</v>
      </c>
      <c r="E142">
        <v>0.49180000000000001</v>
      </c>
      <c r="F142">
        <v>7.4700000000000003E-2</v>
      </c>
      <c r="G142">
        <v>5.9499999999999997E-2</v>
      </c>
      <c r="H142">
        <v>0</v>
      </c>
      <c r="I142">
        <v>0.29289999999999999</v>
      </c>
      <c r="J142">
        <v>0</v>
      </c>
      <c r="K142">
        <v>1.54E-2</v>
      </c>
      <c r="L142">
        <v>6.5699999999999995E-2</v>
      </c>
      <c r="M142" t="s">
        <v>17</v>
      </c>
      <c r="N142">
        <v>865454</v>
      </c>
      <c r="O142" t="s">
        <v>32</v>
      </c>
      <c r="P142" t="s">
        <v>206</v>
      </c>
      <c r="Q142" t="s">
        <v>140</v>
      </c>
      <c r="R142">
        <v>865454</v>
      </c>
      <c r="S142">
        <v>9</v>
      </c>
      <c r="T142" t="s">
        <v>206</v>
      </c>
      <c r="U142">
        <v>33.445585215605703</v>
      </c>
      <c r="V142">
        <v>1</v>
      </c>
    </row>
    <row r="143" spans="1:22" x14ac:dyDescent="0.25">
      <c r="A143">
        <v>107</v>
      </c>
      <c r="B143" t="str">
        <f>CONCATENATE(N143,"_",O143)</f>
        <v>224910_6 months</v>
      </c>
      <c r="C143" t="s">
        <v>67</v>
      </c>
      <c r="D143">
        <v>10000</v>
      </c>
      <c r="E143">
        <v>0.22869999999999999</v>
      </c>
      <c r="F143">
        <v>0.2263</v>
      </c>
      <c r="G143">
        <v>9.8199999999999996E-2</v>
      </c>
      <c r="H143">
        <v>0.122</v>
      </c>
      <c r="I143">
        <v>0.2077</v>
      </c>
      <c r="J143">
        <v>5.1700000000000003E-2</v>
      </c>
      <c r="K143">
        <v>0</v>
      </c>
      <c r="L143">
        <v>6.54E-2</v>
      </c>
      <c r="M143" t="s">
        <v>17</v>
      </c>
      <c r="N143">
        <v>224910</v>
      </c>
      <c r="O143" t="s">
        <v>217</v>
      </c>
      <c r="P143" t="s">
        <v>206</v>
      </c>
      <c r="Q143" t="s">
        <v>67</v>
      </c>
      <c r="R143">
        <v>224910</v>
      </c>
      <c r="S143">
        <v>23</v>
      </c>
      <c r="T143" t="s">
        <v>206</v>
      </c>
      <c r="U143">
        <v>18.661190965092398</v>
      </c>
      <c r="V143">
        <v>1</v>
      </c>
    </row>
    <row r="144" spans="1:22" x14ac:dyDescent="0.25">
      <c r="A144">
        <v>21</v>
      </c>
      <c r="B144" t="str">
        <f>CONCATENATE(N144,"_",O144)</f>
        <v>684007_3 months</v>
      </c>
      <c r="C144" t="s">
        <v>118</v>
      </c>
      <c r="D144">
        <v>10000</v>
      </c>
      <c r="E144">
        <v>0.33460000000000001</v>
      </c>
      <c r="F144">
        <v>6.0400000000000002E-2</v>
      </c>
      <c r="G144">
        <v>0.25650000000000001</v>
      </c>
      <c r="H144">
        <v>4.8000000000000001E-2</v>
      </c>
      <c r="I144">
        <v>0.2213</v>
      </c>
      <c r="J144">
        <v>1.47E-2</v>
      </c>
      <c r="K144">
        <v>0</v>
      </c>
      <c r="L144">
        <v>6.4500000000000002E-2</v>
      </c>
      <c r="M144" t="s">
        <v>17</v>
      </c>
      <c r="N144">
        <v>684007</v>
      </c>
      <c r="O144" t="s">
        <v>115</v>
      </c>
      <c r="P144" t="s">
        <v>206</v>
      </c>
      <c r="Q144" t="s">
        <v>118</v>
      </c>
      <c r="R144">
        <v>684007</v>
      </c>
      <c r="S144">
        <v>20</v>
      </c>
      <c r="T144" t="s">
        <v>206</v>
      </c>
      <c r="U144">
        <v>24.410677618069801</v>
      </c>
      <c r="V144">
        <v>1</v>
      </c>
    </row>
    <row r="145" spans="1:22" x14ac:dyDescent="0.25">
      <c r="A145">
        <v>121</v>
      </c>
      <c r="B145" t="str">
        <f>CONCATENATE(N145,"_",O145)</f>
        <v>656446_Baseline</v>
      </c>
      <c r="C145" t="s">
        <v>224</v>
      </c>
      <c r="D145">
        <v>9956</v>
      </c>
      <c r="E145">
        <v>0.39219999999999999</v>
      </c>
      <c r="F145">
        <v>1.49E-2</v>
      </c>
      <c r="G145">
        <v>8.2699999999999996E-2</v>
      </c>
      <c r="H145">
        <v>0.11020000000000001</v>
      </c>
      <c r="I145">
        <v>0.33629999999999999</v>
      </c>
      <c r="J145">
        <v>0</v>
      </c>
      <c r="K145">
        <v>0</v>
      </c>
      <c r="L145">
        <v>6.3799999999999996E-2</v>
      </c>
      <c r="M145" t="s">
        <v>17</v>
      </c>
      <c r="N145">
        <v>656446</v>
      </c>
      <c r="O145" t="s">
        <v>100</v>
      </c>
      <c r="P145" t="s">
        <v>234</v>
      </c>
      <c r="Q145" t="s">
        <v>224</v>
      </c>
      <c r="R145">
        <v>656446</v>
      </c>
      <c r="S145">
        <v>9</v>
      </c>
      <c r="T145" t="s">
        <v>234</v>
      </c>
      <c r="U145">
        <v>30.127310061601602</v>
      </c>
      <c r="V145">
        <v>1</v>
      </c>
    </row>
    <row r="146" spans="1:22" x14ac:dyDescent="0.25">
      <c r="A146">
        <v>32</v>
      </c>
      <c r="B146" t="str">
        <f>CONCATENATE(N146,"_",O146)</f>
        <v>716379_18 months</v>
      </c>
      <c r="C146" t="s">
        <v>36</v>
      </c>
      <c r="D146">
        <v>10000</v>
      </c>
      <c r="E146">
        <v>0.42699999999999999</v>
      </c>
      <c r="F146">
        <v>5.7000000000000002E-2</v>
      </c>
      <c r="G146">
        <v>5.8900000000000001E-2</v>
      </c>
      <c r="H146">
        <v>0</v>
      </c>
      <c r="I146">
        <v>0.38429999999999997</v>
      </c>
      <c r="J146">
        <v>0</v>
      </c>
      <c r="K146">
        <v>1.03E-2</v>
      </c>
      <c r="L146">
        <v>6.25E-2</v>
      </c>
      <c r="M146" t="s">
        <v>233</v>
      </c>
      <c r="N146">
        <v>716379</v>
      </c>
      <c r="O146" t="s">
        <v>32</v>
      </c>
      <c r="P146" t="s">
        <v>206</v>
      </c>
      <c r="Q146" t="s">
        <v>36</v>
      </c>
      <c r="R146">
        <v>716379</v>
      </c>
      <c r="S146">
        <v>19</v>
      </c>
      <c r="T146" t="s">
        <v>206</v>
      </c>
      <c r="U146">
        <v>42.447638603696099</v>
      </c>
      <c r="V146">
        <v>1</v>
      </c>
    </row>
    <row r="147" spans="1:22" x14ac:dyDescent="0.25">
      <c r="A147">
        <v>154</v>
      </c>
      <c r="B147" t="str">
        <f>CONCATENATE(N147,"_",O147)</f>
        <v>954069_Baseline</v>
      </c>
      <c r="C147" t="s">
        <v>201</v>
      </c>
      <c r="D147">
        <v>10000</v>
      </c>
      <c r="E147">
        <v>0.191</v>
      </c>
      <c r="F147">
        <v>0.1201</v>
      </c>
      <c r="G147">
        <v>7.5999999999999998E-2</v>
      </c>
      <c r="H147">
        <v>0.1719</v>
      </c>
      <c r="I147">
        <v>0.29049999999999998</v>
      </c>
      <c r="J147">
        <v>8.7999999999999995E-2</v>
      </c>
      <c r="K147">
        <v>0</v>
      </c>
      <c r="L147">
        <v>6.25E-2</v>
      </c>
      <c r="M147" t="s">
        <v>17</v>
      </c>
      <c r="N147">
        <v>954069</v>
      </c>
      <c r="O147" t="s">
        <v>100</v>
      </c>
      <c r="P147" t="s">
        <v>206</v>
      </c>
      <c r="Q147" t="s">
        <v>201</v>
      </c>
      <c r="R147">
        <v>954069</v>
      </c>
      <c r="S147">
        <v>41</v>
      </c>
      <c r="T147" t="s">
        <v>206</v>
      </c>
      <c r="U147">
        <v>24.410677618069801</v>
      </c>
      <c r="V147">
        <v>0</v>
      </c>
    </row>
    <row r="148" spans="1:22" x14ac:dyDescent="0.25">
      <c r="A148">
        <v>63</v>
      </c>
      <c r="B148" t="str">
        <f>CONCATENATE(N148,"_",O148)</f>
        <v>873459_3 months</v>
      </c>
      <c r="C148" t="s">
        <v>148</v>
      </c>
      <c r="D148">
        <v>10000</v>
      </c>
      <c r="E148">
        <v>0.30380000000000001</v>
      </c>
      <c r="F148">
        <v>8.5900000000000004E-2</v>
      </c>
      <c r="G148">
        <v>8.6999999999999994E-2</v>
      </c>
      <c r="H148">
        <v>8.9599999999999999E-2</v>
      </c>
      <c r="I148">
        <v>0.3523</v>
      </c>
      <c r="J148">
        <v>1.9E-2</v>
      </c>
      <c r="K148">
        <v>0</v>
      </c>
      <c r="L148">
        <v>6.2399999999999997E-2</v>
      </c>
      <c r="M148" t="s">
        <v>17</v>
      </c>
      <c r="N148">
        <v>873459</v>
      </c>
      <c r="O148" t="s">
        <v>115</v>
      </c>
      <c r="P148" t="s">
        <v>234</v>
      </c>
      <c r="Q148" t="s">
        <v>148</v>
      </c>
      <c r="R148">
        <v>873459</v>
      </c>
      <c r="S148">
        <v>15</v>
      </c>
      <c r="T148" t="s">
        <v>234</v>
      </c>
      <c r="U148">
        <v>11.597535934291599</v>
      </c>
      <c r="V148">
        <v>1</v>
      </c>
    </row>
    <row r="149" spans="1:22" x14ac:dyDescent="0.25">
      <c r="A149">
        <v>81</v>
      </c>
      <c r="B149" t="str">
        <f>CONCATENATE(N149,"_",O149)</f>
        <v>230915_18 months</v>
      </c>
      <c r="C149" t="s">
        <v>150</v>
      </c>
      <c r="D149">
        <v>10000</v>
      </c>
      <c r="E149">
        <v>0.35260000000000002</v>
      </c>
      <c r="F149">
        <v>1.9E-2</v>
      </c>
      <c r="G149">
        <v>0.10580000000000001</v>
      </c>
      <c r="H149">
        <v>0.11609999999999999</v>
      </c>
      <c r="I149">
        <v>0.31569999999999998</v>
      </c>
      <c r="J149">
        <v>2.8400000000000002E-2</v>
      </c>
      <c r="K149">
        <v>0</v>
      </c>
      <c r="L149">
        <v>6.2399999999999997E-2</v>
      </c>
      <c r="M149" t="s">
        <v>233</v>
      </c>
      <c r="N149">
        <v>230915</v>
      </c>
      <c r="O149" t="s">
        <v>32</v>
      </c>
      <c r="P149" t="s">
        <v>206</v>
      </c>
      <c r="Q149" t="s">
        <v>150</v>
      </c>
      <c r="R149">
        <v>230915</v>
      </c>
      <c r="S149">
        <v>11</v>
      </c>
      <c r="T149" t="s">
        <v>206</v>
      </c>
      <c r="U149">
        <v>71.622176591375805</v>
      </c>
      <c r="V149">
        <v>0</v>
      </c>
    </row>
    <row r="150" spans="1:22" x14ac:dyDescent="0.25">
      <c r="A150">
        <v>151</v>
      </c>
      <c r="B150" t="str">
        <f>CONCATENATE(N150,"_",O150)</f>
        <v>437809_6 months</v>
      </c>
      <c r="C150" t="s">
        <v>12</v>
      </c>
      <c r="D150">
        <v>10000</v>
      </c>
      <c r="E150">
        <v>0.34320000000000001</v>
      </c>
      <c r="F150">
        <v>0.14480000000000001</v>
      </c>
      <c r="G150">
        <v>2.8799999999999999E-2</v>
      </c>
      <c r="H150">
        <v>0.12280000000000001</v>
      </c>
      <c r="I150">
        <v>0.26300000000000001</v>
      </c>
      <c r="J150">
        <v>3.6600000000000001E-2</v>
      </c>
      <c r="K150">
        <v>0</v>
      </c>
      <c r="L150">
        <v>6.08E-2</v>
      </c>
      <c r="M150" t="s">
        <v>17</v>
      </c>
      <c r="N150">
        <v>437809</v>
      </c>
      <c r="O150" t="s">
        <v>217</v>
      </c>
      <c r="P150" t="s">
        <v>206</v>
      </c>
      <c r="Q150" t="s">
        <v>12</v>
      </c>
      <c r="R150">
        <v>437809</v>
      </c>
      <c r="S150">
        <v>14</v>
      </c>
      <c r="T150" t="s">
        <v>206</v>
      </c>
      <c r="U150">
        <v>29.995893223819301</v>
      </c>
      <c r="V150">
        <v>0</v>
      </c>
    </row>
    <row r="151" spans="1:22" x14ac:dyDescent="0.25">
      <c r="A151">
        <v>126</v>
      </c>
      <c r="B151" t="str">
        <f>CONCATENATE(N151,"_",O151)</f>
        <v>656446_3 months</v>
      </c>
      <c r="C151" t="s">
        <v>225</v>
      </c>
      <c r="D151">
        <v>9934</v>
      </c>
      <c r="E151">
        <v>0.39960000000000001</v>
      </c>
      <c r="F151">
        <v>0</v>
      </c>
      <c r="G151">
        <v>8.1500000000000003E-2</v>
      </c>
      <c r="H151">
        <v>0.1429</v>
      </c>
      <c r="I151">
        <v>0.31619999999999998</v>
      </c>
      <c r="J151">
        <v>0</v>
      </c>
      <c r="K151">
        <v>0</v>
      </c>
      <c r="L151">
        <v>5.9700000000000003E-2</v>
      </c>
      <c r="M151" t="s">
        <v>17</v>
      </c>
      <c r="N151">
        <v>656446</v>
      </c>
      <c r="O151" t="s">
        <v>115</v>
      </c>
      <c r="P151" t="s">
        <v>234</v>
      </c>
      <c r="Q151" t="s">
        <v>225</v>
      </c>
      <c r="R151">
        <v>656446</v>
      </c>
      <c r="S151">
        <v>9</v>
      </c>
      <c r="T151" t="s">
        <v>234</v>
      </c>
      <c r="U151">
        <v>30.127310061601602</v>
      </c>
      <c r="V151">
        <v>1</v>
      </c>
    </row>
    <row r="152" spans="1:22" x14ac:dyDescent="0.25">
      <c r="A152">
        <v>62</v>
      </c>
      <c r="B152" t="str">
        <f>CONCATENATE(N152,"_",O152)</f>
        <v>558054_Baseline</v>
      </c>
      <c r="C152" t="s">
        <v>89</v>
      </c>
      <c r="D152">
        <v>10000</v>
      </c>
      <c r="E152">
        <v>0.31319999999999998</v>
      </c>
      <c r="F152">
        <v>0.12529999999999999</v>
      </c>
      <c r="G152">
        <v>1.5900000000000001E-2</v>
      </c>
      <c r="H152">
        <v>8.6999999999999994E-2</v>
      </c>
      <c r="I152">
        <v>0.33979999999999999</v>
      </c>
      <c r="J152">
        <v>5.9299999999999999E-2</v>
      </c>
      <c r="K152">
        <v>0</v>
      </c>
      <c r="L152">
        <v>5.9499999999999997E-2</v>
      </c>
      <c r="M152" t="s">
        <v>17</v>
      </c>
      <c r="N152">
        <v>558054</v>
      </c>
      <c r="O152" t="s">
        <v>100</v>
      </c>
      <c r="P152" t="s">
        <v>206</v>
      </c>
      <c r="Q152" t="s">
        <v>89</v>
      </c>
      <c r="R152">
        <v>558054</v>
      </c>
      <c r="S152">
        <v>12</v>
      </c>
      <c r="T152" t="s">
        <v>206</v>
      </c>
      <c r="U152">
        <v>59.630390143737202</v>
      </c>
      <c r="V152">
        <v>1</v>
      </c>
    </row>
    <row r="153" spans="1:22" x14ac:dyDescent="0.25">
      <c r="A153">
        <v>197</v>
      </c>
      <c r="B153" t="str">
        <f>CONCATENATE(N153,"_",O153)</f>
        <v>251760_18 months</v>
      </c>
      <c r="C153" t="s">
        <v>57</v>
      </c>
      <c r="D153">
        <v>10000</v>
      </c>
      <c r="E153">
        <v>0.34320000000000001</v>
      </c>
      <c r="F153">
        <v>0.1482</v>
      </c>
      <c r="G153">
        <v>3.32E-2</v>
      </c>
      <c r="H153">
        <v>8.0500000000000002E-2</v>
      </c>
      <c r="I153">
        <v>0.30919999999999997</v>
      </c>
      <c r="J153">
        <v>2.63E-2</v>
      </c>
      <c r="K153">
        <v>0</v>
      </c>
      <c r="L153">
        <v>5.9400000000000001E-2</v>
      </c>
      <c r="M153" t="s">
        <v>17</v>
      </c>
      <c r="N153">
        <v>251760</v>
      </c>
      <c r="O153" t="s">
        <v>32</v>
      </c>
      <c r="P153" t="s">
        <v>206</v>
      </c>
      <c r="Q153" t="s">
        <v>57</v>
      </c>
      <c r="R153">
        <v>251760</v>
      </c>
      <c r="S153">
        <v>15</v>
      </c>
      <c r="T153" t="s">
        <v>206</v>
      </c>
      <c r="U153">
        <v>18.398357289527699</v>
      </c>
      <c r="V153">
        <v>1</v>
      </c>
    </row>
    <row r="154" spans="1:22" x14ac:dyDescent="0.25">
      <c r="A154">
        <v>82</v>
      </c>
      <c r="B154" t="str">
        <f>CONCATENATE(N154,"_",O154)</f>
        <v>444800_18 months</v>
      </c>
      <c r="C154" t="s">
        <v>105</v>
      </c>
      <c r="D154">
        <v>9949</v>
      </c>
      <c r="E154">
        <v>0.3392</v>
      </c>
      <c r="F154">
        <v>7.0999999999999994E-2</v>
      </c>
      <c r="G154">
        <v>4.6899999999999997E-2</v>
      </c>
      <c r="H154">
        <v>0</v>
      </c>
      <c r="I154">
        <v>0.38779999999999998</v>
      </c>
      <c r="J154">
        <v>9.5899999999999999E-2</v>
      </c>
      <c r="K154">
        <v>0</v>
      </c>
      <c r="L154">
        <v>5.9200000000000003E-2</v>
      </c>
      <c r="M154" t="s">
        <v>17</v>
      </c>
      <c r="N154">
        <v>444800</v>
      </c>
      <c r="O154" t="s">
        <v>32</v>
      </c>
      <c r="P154" t="s">
        <v>234</v>
      </c>
      <c r="Q154" t="s">
        <v>105</v>
      </c>
      <c r="R154">
        <v>444800</v>
      </c>
      <c r="S154">
        <v>14</v>
      </c>
      <c r="T154" t="s">
        <v>234</v>
      </c>
      <c r="U154">
        <v>54.932238193018499</v>
      </c>
      <c r="V154">
        <v>1</v>
      </c>
    </row>
    <row r="155" spans="1:22" x14ac:dyDescent="0.25">
      <c r="A155">
        <v>34</v>
      </c>
      <c r="B155" t="str">
        <f>CONCATENATE(N155,"_",O155)</f>
        <v>886154_6 months</v>
      </c>
      <c r="C155" t="s">
        <v>209</v>
      </c>
      <c r="D155">
        <v>10000</v>
      </c>
      <c r="E155">
        <v>0.38379999999999997</v>
      </c>
      <c r="F155">
        <v>2.4199999999999999E-2</v>
      </c>
      <c r="G155">
        <v>0.13159999999999999</v>
      </c>
      <c r="H155">
        <v>7.9100000000000004E-2</v>
      </c>
      <c r="I155">
        <v>0.28699999999999998</v>
      </c>
      <c r="J155">
        <v>3.5900000000000001E-2</v>
      </c>
      <c r="K155">
        <v>0</v>
      </c>
      <c r="L155">
        <v>5.8400000000000001E-2</v>
      </c>
      <c r="M155" t="s">
        <v>17</v>
      </c>
      <c r="N155">
        <v>886154</v>
      </c>
      <c r="O155" t="s">
        <v>217</v>
      </c>
      <c r="P155" t="s">
        <v>234</v>
      </c>
      <c r="Q155" t="s">
        <v>209</v>
      </c>
      <c r="R155">
        <v>886154</v>
      </c>
      <c r="S155">
        <v>16</v>
      </c>
      <c r="T155" t="s">
        <v>234</v>
      </c>
      <c r="U155">
        <v>42.349075975359298</v>
      </c>
      <c r="V155">
        <v>1</v>
      </c>
    </row>
    <row r="156" spans="1:22" x14ac:dyDescent="0.25">
      <c r="A156">
        <v>105</v>
      </c>
      <c r="B156" t="str">
        <f>CONCATENATE(N156,"_",O156)</f>
        <v>817894_3 months</v>
      </c>
      <c r="C156" t="s">
        <v>157</v>
      </c>
      <c r="D156">
        <v>10000</v>
      </c>
      <c r="E156">
        <v>0.35460000000000003</v>
      </c>
      <c r="F156">
        <v>4.7600000000000003E-2</v>
      </c>
      <c r="G156">
        <v>0.1396</v>
      </c>
      <c r="H156">
        <v>0.1018</v>
      </c>
      <c r="I156">
        <v>0.27760000000000001</v>
      </c>
      <c r="J156">
        <v>2.3E-2</v>
      </c>
      <c r="K156">
        <v>0</v>
      </c>
      <c r="L156">
        <v>5.5800000000000002E-2</v>
      </c>
      <c r="M156" t="s">
        <v>233</v>
      </c>
      <c r="N156">
        <v>817894</v>
      </c>
      <c r="O156" t="s">
        <v>115</v>
      </c>
      <c r="P156" t="s">
        <v>234</v>
      </c>
      <c r="Q156" t="s">
        <v>157</v>
      </c>
      <c r="R156">
        <v>817894</v>
      </c>
      <c r="S156">
        <v>11</v>
      </c>
      <c r="T156" t="s">
        <v>234</v>
      </c>
      <c r="U156">
        <v>48</v>
      </c>
      <c r="V156">
        <v>0</v>
      </c>
    </row>
    <row r="157" spans="1:22" x14ac:dyDescent="0.25">
      <c r="A157">
        <v>57</v>
      </c>
      <c r="B157" t="str">
        <f>CONCATENATE(N157,"_",O157)</f>
        <v>838347_Baseline</v>
      </c>
      <c r="C157" t="s">
        <v>195</v>
      </c>
      <c r="D157">
        <v>9870</v>
      </c>
      <c r="E157">
        <v>0.29089999999999999</v>
      </c>
      <c r="F157">
        <v>0.1729</v>
      </c>
      <c r="G157">
        <v>9.2799999999999994E-2</v>
      </c>
      <c r="H157">
        <v>9.6799999999999997E-2</v>
      </c>
      <c r="I157">
        <v>0.2382</v>
      </c>
      <c r="J157">
        <v>5.3600000000000002E-2</v>
      </c>
      <c r="K157">
        <v>0</v>
      </c>
      <c r="L157">
        <v>5.4800000000000001E-2</v>
      </c>
      <c r="M157" t="s">
        <v>233</v>
      </c>
      <c r="N157">
        <v>838347</v>
      </c>
      <c r="O157" t="s">
        <v>100</v>
      </c>
      <c r="P157" t="s">
        <v>234</v>
      </c>
      <c r="Q157" t="s">
        <v>195</v>
      </c>
      <c r="R157">
        <v>838347</v>
      </c>
      <c r="S157">
        <v>17</v>
      </c>
      <c r="T157" t="s">
        <v>234</v>
      </c>
      <c r="U157">
        <v>48.197125256673502</v>
      </c>
      <c r="V157">
        <v>1</v>
      </c>
    </row>
    <row r="158" spans="1:22" x14ac:dyDescent="0.25">
      <c r="A158">
        <v>201</v>
      </c>
      <c r="B158" t="str">
        <f>CONCATENATE(N158,"_",O158)</f>
        <v>666617_6 months</v>
      </c>
      <c r="C158" t="s">
        <v>30</v>
      </c>
      <c r="D158">
        <v>10000</v>
      </c>
      <c r="E158">
        <v>0.41189999999999999</v>
      </c>
      <c r="F158">
        <v>0</v>
      </c>
      <c r="G158">
        <v>0.20430000000000001</v>
      </c>
      <c r="H158">
        <v>0.14829999999999999</v>
      </c>
      <c r="I158">
        <v>0.1661</v>
      </c>
      <c r="J158">
        <v>1.49E-2</v>
      </c>
      <c r="K158">
        <v>0</v>
      </c>
      <c r="L158">
        <v>5.45E-2</v>
      </c>
      <c r="M158" t="s">
        <v>17</v>
      </c>
      <c r="N158">
        <v>666617</v>
      </c>
      <c r="O158" t="s">
        <v>217</v>
      </c>
      <c r="P158" t="s">
        <v>206</v>
      </c>
      <c r="Q158" t="s">
        <v>30</v>
      </c>
      <c r="R158">
        <v>666617</v>
      </c>
      <c r="S158">
        <v>21</v>
      </c>
      <c r="T158" t="s">
        <v>206</v>
      </c>
      <c r="U158">
        <v>11.991786447638599</v>
      </c>
      <c r="V158">
        <v>1</v>
      </c>
    </row>
    <row r="159" spans="1:22" x14ac:dyDescent="0.25">
      <c r="A159">
        <v>27</v>
      </c>
      <c r="B159" t="str">
        <f>CONCATENATE(N159,"_",O159)</f>
        <v>232794_3 months</v>
      </c>
      <c r="C159" t="s">
        <v>7</v>
      </c>
      <c r="D159">
        <v>10000</v>
      </c>
      <c r="E159">
        <v>0.2898</v>
      </c>
      <c r="F159">
        <v>0</v>
      </c>
      <c r="G159">
        <v>0.1898</v>
      </c>
      <c r="H159">
        <v>8.1199999999999994E-2</v>
      </c>
      <c r="I159">
        <v>0.38619999999999999</v>
      </c>
      <c r="J159">
        <v>0</v>
      </c>
      <c r="K159">
        <v>0</v>
      </c>
      <c r="L159">
        <v>5.2999999999999999E-2</v>
      </c>
      <c r="M159" t="s">
        <v>17</v>
      </c>
      <c r="N159">
        <v>232794</v>
      </c>
      <c r="O159" t="s">
        <v>115</v>
      </c>
      <c r="P159" t="s">
        <v>206</v>
      </c>
      <c r="Q159" t="s">
        <v>7</v>
      </c>
      <c r="R159">
        <v>232794</v>
      </c>
      <c r="S159">
        <v>14</v>
      </c>
      <c r="T159" t="s">
        <v>206</v>
      </c>
      <c r="U159">
        <v>60.254620123203303</v>
      </c>
      <c r="V159">
        <v>1</v>
      </c>
    </row>
    <row r="160" spans="1:22" x14ac:dyDescent="0.25">
      <c r="A160">
        <v>65</v>
      </c>
      <c r="B160" t="str">
        <f>CONCATENATE(N160,"_",O160)</f>
        <v>838347_3 months</v>
      </c>
      <c r="C160" t="s">
        <v>221</v>
      </c>
      <c r="D160">
        <v>10000</v>
      </c>
      <c r="E160">
        <v>0.36199999999999999</v>
      </c>
      <c r="F160">
        <v>0.1202</v>
      </c>
      <c r="G160">
        <v>0.1011</v>
      </c>
      <c r="H160">
        <v>0.1239</v>
      </c>
      <c r="I160">
        <v>0.1782</v>
      </c>
      <c r="J160">
        <v>6.2799999999999995E-2</v>
      </c>
      <c r="K160">
        <v>0</v>
      </c>
      <c r="L160">
        <v>5.1799999999999999E-2</v>
      </c>
      <c r="M160" t="s">
        <v>233</v>
      </c>
      <c r="N160">
        <v>838347</v>
      </c>
      <c r="O160" t="s">
        <v>115</v>
      </c>
      <c r="P160" t="s">
        <v>234</v>
      </c>
      <c r="Q160" t="s">
        <v>221</v>
      </c>
      <c r="R160">
        <v>838347</v>
      </c>
      <c r="S160">
        <v>17</v>
      </c>
      <c r="T160" t="s">
        <v>234</v>
      </c>
      <c r="U160">
        <v>48.197125256673502</v>
      </c>
      <c r="V160">
        <v>1</v>
      </c>
    </row>
    <row r="161" spans="1:22" x14ac:dyDescent="0.25">
      <c r="A161">
        <v>152</v>
      </c>
      <c r="B161" t="str">
        <f>CONCATENATE(N161,"_",O161)</f>
        <v>268041_Baseline</v>
      </c>
      <c r="C161" t="s">
        <v>13</v>
      </c>
      <c r="D161">
        <v>9947</v>
      </c>
      <c r="E161">
        <v>0.35070000000000001</v>
      </c>
      <c r="F161">
        <v>6.8199999999999997E-2</v>
      </c>
      <c r="G161">
        <v>7.51E-2</v>
      </c>
      <c r="H161">
        <v>6.0400000000000002E-2</v>
      </c>
      <c r="I161">
        <v>0.30680000000000002</v>
      </c>
      <c r="J161">
        <v>8.7999999999999995E-2</v>
      </c>
      <c r="K161">
        <v>0</v>
      </c>
      <c r="L161">
        <v>5.0900000000000001E-2</v>
      </c>
      <c r="M161" t="s">
        <v>17</v>
      </c>
      <c r="N161">
        <v>268041</v>
      </c>
      <c r="O161" t="s">
        <v>100</v>
      </c>
      <c r="P161" t="s">
        <v>206</v>
      </c>
      <c r="Q161" t="s">
        <v>13</v>
      </c>
      <c r="R161">
        <v>268041</v>
      </c>
      <c r="S161">
        <v>14</v>
      </c>
      <c r="T161" t="s">
        <v>206</v>
      </c>
      <c r="U161">
        <v>23.457905544147799</v>
      </c>
      <c r="V161">
        <v>0</v>
      </c>
    </row>
    <row r="162" spans="1:22" x14ac:dyDescent="0.25">
      <c r="A162">
        <v>97</v>
      </c>
      <c r="B162" t="str">
        <f>CONCATENATE(N162,"_",O162)</f>
        <v>488675_Baseline</v>
      </c>
      <c r="C162" t="s">
        <v>169</v>
      </c>
      <c r="D162">
        <v>9901</v>
      </c>
      <c r="E162">
        <v>0.3463</v>
      </c>
      <c r="F162">
        <v>0.1341</v>
      </c>
      <c r="G162">
        <v>6.6799999999999998E-2</v>
      </c>
      <c r="H162">
        <v>6.8599999999999994E-2</v>
      </c>
      <c r="I162">
        <v>0.3337</v>
      </c>
      <c r="J162">
        <v>0</v>
      </c>
      <c r="K162">
        <v>0</v>
      </c>
      <c r="L162">
        <v>5.0500000000000003E-2</v>
      </c>
      <c r="M162" t="s">
        <v>17</v>
      </c>
      <c r="N162">
        <v>488675</v>
      </c>
      <c r="O162" t="s">
        <v>100</v>
      </c>
      <c r="P162" t="s">
        <v>234</v>
      </c>
      <c r="Q162" t="s">
        <v>169</v>
      </c>
      <c r="R162">
        <v>488675</v>
      </c>
      <c r="S162">
        <v>11</v>
      </c>
      <c r="T162" t="s">
        <v>234</v>
      </c>
      <c r="U162">
        <v>47.572895277207401</v>
      </c>
      <c r="V162">
        <v>0</v>
      </c>
    </row>
    <row r="163" spans="1:22" x14ac:dyDescent="0.25">
      <c r="A163">
        <v>168</v>
      </c>
      <c r="B163" t="str">
        <f>CONCATENATE(N163,"_",O163)</f>
        <v>787396_3 months</v>
      </c>
      <c r="C163" t="s">
        <v>86</v>
      </c>
      <c r="D163">
        <v>10000</v>
      </c>
      <c r="E163">
        <v>0.3604</v>
      </c>
      <c r="F163">
        <v>5.7700000000000001E-2</v>
      </c>
      <c r="G163">
        <v>0.23330000000000001</v>
      </c>
      <c r="H163">
        <v>0.157</v>
      </c>
      <c r="I163">
        <v>0.14230000000000001</v>
      </c>
      <c r="J163">
        <v>0</v>
      </c>
      <c r="K163">
        <v>0</v>
      </c>
      <c r="L163">
        <v>4.9299999999999997E-2</v>
      </c>
      <c r="M163" t="s">
        <v>17</v>
      </c>
      <c r="N163">
        <v>787396</v>
      </c>
      <c r="O163" t="s">
        <v>115</v>
      </c>
      <c r="P163" t="s">
        <v>206</v>
      </c>
      <c r="Q163" t="s">
        <v>86</v>
      </c>
      <c r="R163">
        <v>787396</v>
      </c>
      <c r="S163">
        <v>16</v>
      </c>
      <c r="T163" t="s">
        <v>206</v>
      </c>
      <c r="U163">
        <v>22.8993839835729</v>
      </c>
      <c r="V163">
        <v>0</v>
      </c>
    </row>
    <row r="164" spans="1:22" x14ac:dyDescent="0.25">
      <c r="A164">
        <v>53</v>
      </c>
      <c r="B164" t="str">
        <f>CONCATENATE(N164,"_",O164)</f>
        <v>649805_3 months</v>
      </c>
      <c r="C164" t="s">
        <v>181</v>
      </c>
      <c r="D164">
        <v>9848</v>
      </c>
      <c r="E164">
        <v>0.30149999999999999</v>
      </c>
      <c r="F164">
        <v>9.8799999999999999E-2</v>
      </c>
      <c r="G164">
        <v>0.14030000000000001</v>
      </c>
      <c r="H164">
        <v>0.1167</v>
      </c>
      <c r="I164">
        <v>0.23280000000000001</v>
      </c>
      <c r="J164">
        <v>6.0699999999999997E-2</v>
      </c>
      <c r="K164">
        <v>0</v>
      </c>
      <c r="L164">
        <v>4.9099999999999998E-2</v>
      </c>
      <c r="M164" t="s">
        <v>17</v>
      </c>
      <c r="N164">
        <v>649805</v>
      </c>
      <c r="O164" t="s">
        <v>115</v>
      </c>
      <c r="P164" t="s">
        <v>234</v>
      </c>
      <c r="Q164" t="s">
        <v>181</v>
      </c>
      <c r="R164">
        <v>649805</v>
      </c>
      <c r="S164">
        <v>45</v>
      </c>
      <c r="T164" t="s">
        <v>234</v>
      </c>
      <c r="U164">
        <v>30.094455852156099</v>
      </c>
      <c r="V164">
        <v>1</v>
      </c>
    </row>
    <row r="165" spans="1:22" x14ac:dyDescent="0.25">
      <c r="A165">
        <v>166</v>
      </c>
      <c r="B165" t="str">
        <f>CONCATENATE(N165,"_",O165)</f>
        <v>846511_Baseline</v>
      </c>
      <c r="C165" t="s">
        <v>110</v>
      </c>
      <c r="D165">
        <v>10000</v>
      </c>
      <c r="E165">
        <v>0.44900000000000001</v>
      </c>
      <c r="F165">
        <v>0</v>
      </c>
      <c r="G165">
        <v>3.3500000000000002E-2</v>
      </c>
      <c r="H165">
        <v>0.1215</v>
      </c>
      <c r="I165">
        <v>0.3165</v>
      </c>
      <c r="J165">
        <v>3.1600000000000003E-2</v>
      </c>
      <c r="K165">
        <v>0</v>
      </c>
      <c r="L165">
        <v>4.7899999999999998E-2</v>
      </c>
      <c r="M165" t="s">
        <v>233</v>
      </c>
      <c r="N165">
        <v>846511</v>
      </c>
      <c r="O165" t="s">
        <v>100</v>
      </c>
      <c r="P165" t="s">
        <v>234</v>
      </c>
      <c r="Q165" t="s">
        <v>110</v>
      </c>
      <c r="R165">
        <v>846511</v>
      </c>
      <c r="S165">
        <v>8</v>
      </c>
      <c r="T165" t="s">
        <v>234</v>
      </c>
      <c r="U165">
        <v>9.4620123203285402</v>
      </c>
      <c r="V165">
        <v>1</v>
      </c>
    </row>
    <row r="166" spans="1:22" x14ac:dyDescent="0.25">
      <c r="A166">
        <v>43</v>
      </c>
      <c r="B166" t="str">
        <f>CONCATENATE(N166,"_",O166)</f>
        <v>649805_Baseline</v>
      </c>
      <c r="C166" t="s">
        <v>9</v>
      </c>
      <c r="D166">
        <v>9907</v>
      </c>
      <c r="E166">
        <v>0.30309999999999998</v>
      </c>
      <c r="F166">
        <v>0.14230000000000001</v>
      </c>
      <c r="G166">
        <v>0.1089</v>
      </c>
      <c r="H166">
        <v>0.1163</v>
      </c>
      <c r="I166">
        <v>0.23930000000000001</v>
      </c>
      <c r="J166">
        <v>4.3099999999999999E-2</v>
      </c>
      <c r="K166">
        <v>0</v>
      </c>
      <c r="L166">
        <v>4.6899999999999997E-2</v>
      </c>
      <c r="M166" t="s">
        <v>17</v>
      </c>
      <c r="N166">
        <v>649805</v>
      </c>
      <c r="O166" t="s">
        <v>100</v>
      </c>
      <c r="P166" t="s">
        <v>234</v>
      </c>
      <c r="Q166" t="s">
        <v>9</v>
      </c>
      <c r="R166">
        <v>649805</v>
      </c>
      <c r="S166">
        <v>45</v>
      </c>
      <c r="T166" t="s">
        <v>234</v>
      </c>
      <c r="U166">
        <v>30.094455852156099</v>
      </c>
      <c r="V166">
        <v>1</v>
      </c>
    </row>
    <row r="167" spans="1:22" x14ac:dyDescent="0.25">
      <c r="A167">
        <v>95</v>
      </c>
      <c r="B167" t="str">
        <f>CONCATENATE(N167,"_",O167)</f>
        <v>582246_Baseline</v>
      </c>
      <c r="C167" t="s">
        <v>106</v>
      </c>
      <c r="D167">
        <v>9920</v>
      </c>
      <c r="E167">
        <v>0.37409999999999999</v>
      </c>
      <c r="F167">
        <v>7.9699999999999993E-2</v>
      </c>
      <c r="G167">
        <v>6.5699999999999995E-2</v>
      </c>
      <c r="H167">
        <v>9.5399999999999999E-2</v>
      </c>
      <c r="I167">
        <v>0.23930000000000001</v>
      </c>
      <c r="J167">
        <v>7.1900000000000006E-2</v>
      </c>
      <c r="K167">
        <v>2.7699999999999999E-2</v>
      </c>
      <c r="L167">
        <v>4.6199999999999998E-2</v>
      </c>
      <c r="M167" t="s">
        <v>17</v>
      </c>
      <c r="N167">
        <v>582246</v>
      </c>
      <c r="O167" t="s">
        <v>100</v>
      </c>
      <c r="P167" t="s">
        <v>206</v>
      </c>
      <c r="Q167" t="s">
        <v>106</v>
      </c>
      <c r="R167">
        <v>582246</v>
      </c>
      <c r="S167">
        <v>12</v>
      </c>
      <c r="T167" t="s">
        <v>206</v>
      </c>
      <c r="U167">
        <v>47.375770020533899</v>
      </c>
      <c r="V167">
        <v>0</v>
      </c>
    </row>
    <row r="168" spans="1:22" x14ac:dyDescent="0.25">
      <c r="A168">
        <v>70</v>
      </c>
      <c r="B168" t="str">
        <f>CONCATENATE(N168,"_",O168)</f>
        <v>684007_18 months</v>
      </c>
      <c r="C168" t="s">
        <v>120</v>
      </c>
      <c r="D168">
        <v>10000</v>
      </c>
      <c r="E168">
        <v>0.3553</v>
      </c>
      <c r="F168">
        <v>0</v>
      </c>
      <c r="G168">
        <v>0.2203</v>
      </c>
      <c r="H168">
        <v>5.9200000000000003E-2</v>
      </c>
      <c r="I168">
        <v>0.32279999999999998</v>
      </c>
      <c r="J168">
        <v>0</v>
      </c>
      <c r="K168">
        <v>0</v>
      </c>
      <c r="L168">
        <v>4.24E-2</v>
      </c>
      <c r="M168" t="s">
        <v>17</v>
      </c>
      <c r="N168">
        <v>684007</v>
      </c>
      <c r="O168" t="s">
        <v>32</v>
      </c>
      <c r="P168" t="s">
        <v>206</v>
      </c>
      <c r="Q168" t="s">
        <v>120</v>
      </c>
      <c r="R168">
        <v>684007</v>
      </c>
      <c r="S168">
        <v>20</v>
      </c>
      <c r="T168" t="s">
        <v>206</v>
      </c>
      <c r="U168">
        <v>24.410677618069801</v>
      </c>
      <c r="V168">
        <v>1</v>
      </c>
    </row>
    <row r="169" spans="1:22" x14ac:dyDescent="0.25">
      <c r="A169">
        <v>99</v>
      </c>
      <c r="B169" t="str">
        <f>CONCATENATE(N169,"_",O169)</f>
        <v>224910_3 months</v>
      </c>
      <c r="C169" t="s">
        <v>170</v>
      </c>
      <c r="D169">
        <v>10000</v>
      </c>
      <c r="E169">
        <v>0.35859999999999997</v>
      </c>
      <c r="F169">
        <v>2.3300000000000001E-2</v>
      </c>
      <c r="G169">
        <v>0.16250000000000001</v>
      </c>
      <c r="H169">
        <v>0.15040000000000001</v>
      </c>
      <c r="I169">
        <v>0.215</v>
      </c>
      <c r="J169">
        <v>4.8000000000000001E-2</v>
      </c>
      <c r="K169">
        <v>0</v>
      </c>
      <c r="L169">
        <v>4.2200000000000001E-2</v>
      </c>
      <c r="M169" t="s">
        <v>17</v>
      </c>
      <c r="N169">
        <v>224910</v>
      </c>
      <c r="O169" t="s">
        <v>115</v>
      </c>
      <c r="P169" t="s">
        <v>206</v>
      </c>
      <c r="Q169" t="s">
        <v>170</v>
      </c>
      <c r="R169">
        <v>224910</v>
      </c>
      <c r="S169">
        <v>23</v>
      </c>
      <c r="T169" t="s">
        <v>206</v>
      </c>
      <c r="U169">
        <v>18.661190965092398</v>
      </c>
      <c r="V169">
        <v>1</v>
      </c>
    </row>
    <row r="170" spans="1:22" x14ac:dyDescent="0.25">
      <c r="A170">
        <v>96</v>
      </c>
      <c r="B170" t="str">
        <f>CONCATENATE(N170,"_",O170)</f>
        <v>798801_3 months</v>
      </c>
      <c r="C170" t="s">
        <v>222</v>
      </c>
      <c r="D170">
        <v>10000</v>
      </c>
      <c r="E170">
        <v>0.22539999999999999</v>
      </c>
      <c r="F170">
        <v>8.7900000000000006E-2</v>
      </c>
      <c r="G170">
        <v>0.23180000000000001</v>
      </c>
      <c r="H170">
        <v>0.19969999999999999</v>
      </c>
      <c r="I170">
        <v>0.14990000000000001</v>
      </c>
      <c r="J170">
        <v>6.3600000000000004E-2</v>
      </c>
      <c r="K170">
        <v>0</v>
      </c>
      <c r="L170">
        <v>4.1700000000000001E-2</v>
      </c>
      <c r="M170" t="s">
        <v>17</v>
      </c>
      <c r="N170">
        <v>798801</v>
      </c>
      <c r="O170" t="s">
        <v>115</v>
      </c>
      <c r="P170" t="s">
        <v>234</v>
      </c>
      <c r="Q170" t="s">
        <v>222</v>
      </c>
      <c r="R170">
        <v>798801</v>
      </c>
      <c r="S170">
        <v>34</v>
      </c>
      <c r="T170" t="s">
        <v>234</v>
      </c>
      <c r="U170">
        <v>29.864476386037001</v>
      </c>
      <c r="V170">
        <v>1</v>
      </c>
    </row>
    <row r="171" spans="1:22" x14ac:dyDescent="0.25">
      <c r="A171">
        <v>71</v>
      </c>
      <c r="B171" t="str">
        <f>CONCATENATE(N171,"_",O171)</f>
        <v>838347_6 months</v>
      </c>
      <c r="C171" t="s">
        <v>63</v>
      </c>
      <c r="D171">
        <v>10000</v>
      </c>
      <c r="E171">
        <v>0.47370000000000001</v>
      </c>
      <c r="F171">
        <v>7.2400000000000006E-2</v>
      </c>
      <c r="G171">
        <v>6.4199999999999993E-2</v>
      </c>
      <c r="H171">
        <v>6.4299999999999996E-2</v>
      </c>
      <c r="I171">
        <v>0.28649999999999998</v>
      </c>
      <c r="J171">
        <v>0</v>
      </c>
      <c r="K171">
        <v>0</v>
      </c>
      <c r="L171">
        <v>3.8899999999999997E-2</v>
      </c>
      <c r="M171" t="s">
        <v>233</v>
      </c>
      <c r="N171">
        <v>838347</v>
      </c>
      <c r="O171" t="s">
        <v>217</v>
      </c>
      <c r="P171" t="s">
        <v>234</v>
      </c>
      <c r="Q171" t="s">
        <v>63</v>
      </c>
      <c r="R171">
        <v>838347</v>
      </c>
      <c r="S171">
        <v>17</v>
      </c>
      <c r="T171" t="s">
        <v>234</v>
      </c>
      <c r="U171">
        <v>48.197125256673502</v>
      </c>
      <c r="V171">
        <v>1</v>
      </c>
    </row>
    <row r="172" spans="1:22" x14ac:dyDescent="0.25">
      <c r="A172">
        <v>177</v>
      </c>
      <c r="B172" t="str">
        <f>CONCATENATE(N172,"_",O172)</f>
        <v>455189_6 months</v>
      </c>
      <c r="C172" t="s">
        <v>216</v>
      </c>
      <c r="D172">
        <v>10000</v>
      </c>
      <c r="E172">
        <v>0.36549999999999999</v>
      </c>
      <c r="F172">
        <v>0.16869999999999999</v>
      </c>
      <c r="G172">
        <v>0.1265</v>
      </c>
      <c r="H172">
        <v>6.7000000000000004E-2</v>
      </c>
      <c r="I172">
        <v>0.18440000000000001</v>
      </c>
      <c r="J172">
        <v>4.9599999999999998E-2</v>
      </c>
      <c r="K172">
        <v>0</v>
      </c>
      <c r="L172">
        <v>3.8300000000000001E-2</v>
      </c>
      <c r="M172" t="s">
        <v>17</v>
      </c>
      <c r="N172">
        <v>455189</v>
      </c>
      <c r="O172" t="s">
        <v>217</v>
      </c>
      <c r="P172" t="s">
        <v>206</v>
      </c>
      <c r="Q172" t="s">
        <v>216</v>
      </c>
      <c r="R172">
        <v>455189</v>
      </c>
      <c r="S172">
        <v>31</v>
      </c>
      <c r="T172" t="s">
        <v>206</v>
      </c>
      <c r="U172">
        <v>25.133470225872699</v>
      </c>
      <c r="V172">
        <v>0</v>
      </c>
    </row>
    <row r="173" spans="1:22" x14ac:dyDescent="0.25">
      <c r="A173">
        <v>22</v>
      </c>
      <c r="B173" t="str">
        <f>CONCATENATE(N173,"_",O173)</f>
        <v>230915_Baseline</v>
      </c>
      <c r="C173" t="s">
        <v>6</v>
      </c>
      <c r="D173">
        <v>10000</v>
      </c>
      <c r="E173">
        <v>0.4199</v>
      </c>
      <c r="F173">
        <v>3.0700000000000002E-2</v>
      </c>
      <c r="G173">
        <v>3.6799999999999999E-2</v>
      </c>
      <c r="H173">
        <v>0.1134</v>
      </c>
      <c r="I173">
        <v>0.34260000000000002</v>
      </c>
      <c r="J173">
        <v>2.1299999999999999E-2</v>
      </c>
      <c r="K173">
        <v>0</v>
      </c>
      <c r="L173">
        <v>3.5299999999999998E-2</v>
      </c>
      <c r="M173" t="s">
        <v>233</v>
      </c>
      <c r="N173">
        <v>230915</v>
      </c>
      <c r="O173" t="s">
        <v>100</v>
      </c>
      <c r="P173" t="s">
        <v>206</v>
      </c>
      <c r="Q173" t="s">
        <v>6</v>
      </c>
      <c r="R173">
        <v>230915</v>
      </c>
      <c r="S173">
        <v>11</v>
      </c>
      <c r="T173" t="s">
        <v>206</v>
      </c>
      <c r="U173">
        <v>71.622176591375805</v>
      </c>
      <c r="V173">
        <v>0</v>
      </c>
    </row>
    <row r="174" spans="1:22" x14ac:dyDescent="0.25">
      <c r="A174">
        <v>7</v>
      </c>
      <c r="B174" t="str">
        <f>CONCATENATE(N174,"_",O174)</f>
        <v>341455_6 months</v>
      </c>
      <c r="C174" t="s">
        <v>3</v>
      </c>
      <c r="D174">
        <v>10000</v>
      </c>
      <c r="E174">
        <v>0.41720000000000002</v>
      </c>
      <c r="F174">
        <v>5.9499999999999997E-2</v>
      </c>
      <c r="G174">
        <v>6.8500000000000005E-2</v>
      </c>
      <c r="H174">
        <v>4.2000000000000003E-2</v>
      </c>
      <c r="I174">
        <v>0.35</v>
      </c>
      <c r="J174">
        <v>0</v>
      </c>
      <c r="K174">
        <v>2.9600000000000001E-2</v>
      </c>
      <c r="L174">
        <v>3.32E-2</v>
      </c>
      <c r="M174" t="s">
        <v>17</v>
      </c>
      <c r="N174">
        <v>341455</v>
      </c>
      <c r="O174" t="s">
        <v>217</v>
      </c>
      <c r="P174" t="s">
        <v>206</v>
      </c>
      <c r="Q174" t="s">
        <v>3</v>
      </c>
      <c r="R174">
        <v>341455</v>
      </c>
      <c r="S174">
        <v>19</v>
      </c>
      <c r="T174" t="s">
        <v>206</v>
      </c>
      <c r="U174">
        <v>88.147843942505105</v>
      </c>
      <c r="V174">
        <v>0</v>
      </c>
    </row>
    <row r="175" spans="1:22" x14ac:dyDescent="0.25">
      <c r="A175">
        <v>104</v>
      </c>
      <c r="B175" t="str">
        <f>CONCATENATE(N175,"_",O175)</f>
        <v>838347_18 months</v>
      </c>
      <c r="C175" t="s">
        <v>156</v>
      </c>
      <c r="D175">
        <v>10000</v>
      </c>
      <c r="E175">
        <v>0.39079999999999998</v>
      </c>
      <c r="F175">
        <v>0.1096</v>
      </c>
      <c r="G175">
        <v>0.10050000000000001</v>
      </c>
      <c r="H175">
        <v>0.10100000000000001</v>
      </c>
      <c r="I175">
        <v>0.2281</v>
      </c>
      <c r="J175">
        <v>3.9300000000000002E-2</v>
      </c>
      <c r="K175">
        <v>0</v>
      </c>
      <c r="L175">
        <v>3.0700000000000002E-2</v>
      </c>
      <c r="M175" t="s">
        <v>233</v>
      </c>
      <c r="N175">
        <v>838347</v>
      </c>
      <c r="O175" t="s">
        <v>32</v>
      </c>
      <c r="P175" t="s">
        <v>234</v>
      </c>
      <c r="Q175" t="s">
        <v>156</v>
      </c>
      <c r="R175">
        <v>838347</v>
      </c>
      <c r="S175">
        <v>17</v>
      </c>
      <c r="T175" t="s">
        <v>234</v>
      </c>
      <c r="U175">
        <v>48.197125256673502</v>
      </c>
      <c r="V175">
        <v>1</v>
      </c>
    </row>
    <row r="176" spans="1:22" x14ac:dyDescent="0.25">
      <c r="A176">
        <v>16</v>
      </c>
      <c r="B176" t="str">
        <f>CONCATENATE(N176,"_",O176)</f>
        <v>886154_Baseline</v>
      </c>
      <c r="C176" t="s">
        <v>163</v>
      </c>
      <c r="D176">
        <v>9917</v>
      </c>
      <c r="E176">
        <v>0.43909999999999999</v>
      </c>
      <c r="F176">
        <v>0</v>
      </c>
      <c r="G176">
        <v>5.6000000000000001E-2</v>
      </c>
      <c r="H176">
        <v>6.3899999999999998E-2</v>
      </c>
      <c r="I176">
        <v>0.33560000000000001</v>
      </c>
      <c r="J176">
        <v>7.6700000000000004E-2</v>
      </c>
      <c r="K176">
        <v>0</v>
      </c>
      <c r="L176">
        <v>2.86E-2</v>
      </c>
      <c r="M176" t="s">
        <v>17</v>
      </c>
      <c r="N176">
        <v>886154</v>
      </c>
      <c r="O176" t="s">
        <v>100</v>
      </c>
      <c r="P176" t="s">
        <v>234</v>
      </c>
      <c r="Q176" t="s">
        <v>163</v>
      </c>
      <c r="R176">
        <v>886154</v>
      </c>
      <c r="S176">
        <v>16</v>
      </c>
      <c r="T176" t="s">
        <v>234</v>
      </c>
      <c r="U176">
        <v>42.349075975359298</v>
      </c>
      <c r="V176">
        <v>1</v>
      </c>
    </row>
    <row r="177" spans="1:22" x14ac:dyDescent="0.25">
      <c r="A177">
        <v>30</v>
      </c>
      <c r="B177" t="str">
        <f>CONCATENATE(N177,"_",O177)</f>
        <v>684007_6 months</v>
      </c>
      <c r="C177" t="s">
        <v>21</v>
      </c>
      <c r="D177">
        <v>10000</v>
      </c>
      <c r="E177">
        <v>0.30470000000000003</v>
      </c>
      <c r="F177">
        <v>6.7799999999999999E-2</v>
      </c>
      <c r="G177">
        <v>0.18279999999999999</v>
      </c>
      <c r="H177">
        <v>6.8099999999999994E-2</v>
      </c>
      <c r="I177">
        <v>0.35039999999999999</v>
      </c>
      <c r="J177">
        <v>0</v>
      </c>
      <c r="K177">
        <v>0</v>
      </c>
      <c r="L177">
        <v>2.6200000000000001E-2</v>
      </c>
      <c r="M177" t="s">
        <v>17</v>
      </c>
      <c r="N177">
        <v>684007</v>
      </c>
      <c r="O177" t="s">
        <v>217</v>
      </c>
      <c r="P177" t="s">
        <v>206</v>
      </c>
      <c r="Q177" t="s">
        <v>21</v>
      </c>
      <c r="R177">
        <v>684007</v>
      </c>
      <c r="S177">
        <v>20</v>
      </c>
      <c r="T177" t="s">
        <v>206</v>
      </c>
      <c r="U177">
        <v>24.410677618069801</v>
      </c>
      <c r="V177">
        <v>1</v>
      </c>
    </row>
    <row r="178" spans="1:22" x14ac:dyDescent="0.25">
      <c r="A178">
        <v>41</v>
      </c>
      <c r="B178" t="str">
        <f>CONCATENATE(N178,"_",O178)</f>
        <v>232794_6 months</v>
      </c>
      <c r="C178" t="s">
        <v>22</v>
      </c>
      <c r="D178">
        <v>10000</v>
      </c>
      <c r="E178">
        <v>0.41099999999999998</v>
      </c>
      <c r="F178">
        <v>0</v>
      </c>
      <c r="G178">
        <v>0.14549999999999999</v>
      </c>
      <c r="H178">
        <v>0.10050000000000001</v>
      </c>
      <c r="I178">
        <v>0.31730000000000003</v>
      </c>
      <c r="J178">
        <v>0</v>
      </c>
      <c r="K178">
        <v>0</v>
      </c>
      <c r="L178">
        <v>2.5700000000000001E-2</v>
      </c>
      <c r="M178" t="s">
        <v>17</v>
      </c>
      <c r="N178">
        <v>232794</v>
      </c>
      <c r="O178" t="s">
        <v>217</v>
      </c>
      <c r="P178" t="s">
        <v>206</v>
      </c>
      <c r="Q178" t="s">
        <v>22</v>
      </c>
      <c r="R178">
        <v>232794</v>
      </c>
      <c r="S178">
        <v>14</v>
      </c>
      <c r="T178" t="s">
        <v>206</v>
      </c>
      <c r="U178">
        <v>60.254620123203303</v>
      </c>
      <c r="V178">
        <v>1</v>
      </c>
    </row>
    <row r="179" spans="1:22" x14ac:dyDescent="0.25">
      <c r="A179">
        <v>3</v>
      </c>
      <c r="B179" t="str">
        <f>CONCATENATE(N179,"_",O179)</f>
        <v>983719_Baseline</v>
      </c>
      <c r="C179" t="s">
        <v>162</v>
      </c>
      <c r="D179">
        <v>10000</v>
      </c>
      <c r="E179">
        <v>0.3301</v>
      </c>
      <c r="F179">
        <v>0.1135</v>
      </c>
      <c r="G179">
        <v>9.6000000000000002E-2</v>
      </c>
      <c r="H179">
        <v>0.1212</v>
      </c>
      <c r="I179">
        <v>0.23180000000000001</v>
      </c>
      <c r="J179">
        <v>5.74E-2</v>
      </c>
      <c r="K179">
        <v>2.46E-2</v>
      </c>
      <c r="L179">
        <v>2.5399999999999999E-2</v>
      </c>
      <c r="M179" t="s">
        <v>17</v>
      </c>
      <c r="N179">
        <v>983719</v>
      </c>
      <c r="O179" t="s">
        <v>100</v>
      </c>
      <c r="P179" t="s">
        <v>234</v>
      </c>
      <c r="Q179" t="s">
        <v>162</v>
      </c>
      <c r="R179">
        <v>983719</v>
      </c>
      <c r="S179">
        <v>32</v>
      </c>
      <c r="T179" t="s">
        <v>234</v>
      </c>
      <c r="U179">
        <v>24.4435318275154</v>
      </c>
      <c r="V179">
        <v>1</v>
      </c>
    </row>
    <row r="180" spans="1:22" x14ac:dyDescent="0.25">
      <c r="A180">
        <v>204</v>
      </c>
      <c r="B180" t="str">
        <f>CONCATENATE(N180,"_",O180)</f>
        <v>787396_18 months</v>
      </c>
      <c r="C180" t="s">
        <v>87</v>
      </c>
      <c r="D180">
        <v>10000</v>
      </c>
      <c r="E180">
        <v>0.37659999999999999</v>
      </c>
      <c r="F180">
        <v>4.1000000000000002E-2</v>
      </c>
      <c r="G180">
        <v>0.24660000000000001</v>
      </c>
      <c r="H180">
        <v>8.0299999999999996E-2</v>
      </c>
      <c r="I180">
        <v>0.23069999999999999</v>
      </c>
      <c r="J180">
        <v>0</v>
      </c>
      <c r="K180">
        <v>0</v>
      </c>
      <c r="L180">
        <v>2.4799999999999999E-2</v>
      </c>
      <c r="M180" t="s">
        <v>17</v>
      </c>
      <c r="N180">
        <v>787396</v>
      </c>
      <c r="O180" t="s">
        <v>32</v>
      </c>
      <c r="P180" t="s">
        <v>206</v>
      </c>
      <c r="Q180" t="s">
        <v>87</v>
      </c>
      <c r="R180">
        <v>787396</v>
      </c>
      <c r="S180">
        <v>16</v>
      </c>
      <c r="T180" t="s">
        <v>206</v>
      </c>
      <c r="U180">
        <v>22.8993839835729</v>
      </c>
      <c r="V180">
        <v>0</v>
      </c>
    </row>
    <row r="181" spans="1:22" x14ac:dyDescent="0.25">
      <c r="A181">
        <v>88</v>
      </c>
      <c r="B181" t="str">
        <f>CONCATENATE(N181,"_",O181)</f>
        <v>369952_18 months</v>
      </c>
      <c r="C181" t="s">
        <v>41</v>
      </c>
      <c r="D181">
        <v>10000</v>
      </c>
      <c r="E181">
        <v>0.36159999999999998</v>
      </c>
      <c r="F181">
        <v>0.14019999999999999</v>
      </c>
      <c r="G181">
        <v>3.8699999999999998E-2</v>
      </c>
      <c r="H181">
        <v>3.6299999999999999E-2</v>
      </c>
      <c r="I181">
        <v>0.33250000000000002</v>
      </c>
      <c r="J181">
        <v>5.67E-2</v>
      </c>
      <c r="K181">
        <v>1.0699999999999999E-2</v>
      </c>
      <c r="L181">
        <v>2.3300000000000001E-2</v>
      </c>
      <c r="M181" t="s">
        <v>17</v>
      </c>
      <c r="N181">
        <v>369952</v>
      </c>
      <c r="O181" t="s">
        <v>32</v>
      </c>
      <c r="P181" t="s">
        <v>206</v>
      </c>
      <c r="Q181" t="s">
        <v>41</v>
      </c>
      <c r="R181">
        <v>369952</v>
      </c>
      <c r="S181">
        <v>12</v>
      </c>
      <c r="T181" t="s">
        <v>206</v>
      </c>
      <c r="U181">
        <v>35.975359342915802</v>
      </c>
      <c r="V181">
        <v>0</v>
      </c>
    </row>
    <row r="182" spans="1:22" x14ac:dyDescent="0.25">
      <c r="A182">
        <v>94</v>
      </c>
      <c r="B182" t="str">
        <f>CONCATENATE(N182,"_",O182)</f>
        <v>649805_18 months</v>
      </c>
      <c r="C182" t="s">
        <v>25</v>
      </c>
      <c r="D182">
        <v>10000</v>
      </c>
      <c r="E182">
        <v>0.30109999999999998</v>
      </c>
      <c r="F182">
        <v>0.13070000000000001</v>
      </c>
      <c r="G182">
        <v>0.13439999999999999</v>
      </c>
      <c r="H182">
        <v>0.152</v>
      </c>
      <c r="I182">
        <v>0.19520000000000001</v>
      </c>
      <c r="J182">
        <v>6.3299999999999995E-2</v>
      </c>
      <c r="K182">
        <v>0</v>
      </c>
      <c r="L182">
        <v>2.3300000000000001E-2</v>
      </c>
      <c r="M182" t="s">
        <v>17</v>
      </c>
      <c r="N182">
        <v>649805</v>
      </c>
      <c r="O182" t="s">
        <v>32</v>
      </c>
      <c r="P182" t="s">
        <v>234</v>
      </c>
      <c r="Q182" t="s">
        <v>25</v>
      </c>
      <c r="R182">
        <v>649805</v>
      </c>
      <c r="S182">
        <v>45</v>
      </c>
      <c r="T182" t="s">
        <v>234</v>
      </c>
      <c r="U182">
        <v>30.094455852156099</v>
      </c>
      <c r="V182">
        <v>1</v>
      </c>
    </row>
    <row r="183" spans="1:22" x14ac:dyDescent="0.25">
      <c r="A183">
        <v>193</v>
      </c>
      <c r="B183" t="str">
        <f>CONCATENATE(N183,"_",O183)</f>
        <v>666617_Baseline</v>
      </c>
      <c r="C183" t="s">
        <v>112</v>
      </c>
      <c r="D183">
        <v>10000</v>
      </c>
      <c r="E183">
        <v>0.35110000000000002</v>
      </c>
      <c r="F183">
        <v>5.96E-2</v>
      </c>
      <c r="G183">
        <v>0.16919999999999999</v>
      </c>
      <c r="H183">
        <v>0.11700000000000001</v>
      </c>
      <c r="I183">
        <v>0.24679999999999999</v>
      </c>
      <c r="J183">
        <v>3.3700000000000001E-2</v>
      </c>
      <c r="K183">
        <v>0</v>
      </c>
      <c r="L183">
        <v>2.2599999999999999E-2</v>
      </c>
      <c r="M183" t="s">
        <v>17</v>
      </c>
      <c r="N183">
        <v>666617</v>
      </c>
      <c r="O183" t="s">
        <v>100</v>
      </c>
      <c r="P183" t="s">
        <v>206</v>
      </c>
      <c r="Q183" t="s">
        <v>112</v>
      </c>
      <c r="R183">
        <v>666617</v>
      </c>
      <c r="S183">
        <v>21</v>
      </c>
      <c r="T183" t="s">
        <v>206</v>
      </c>
      <c r="U183">
        <v>11.991786447638599</v>
      </c>
      <c r="V183">
        <v>1</v>
      </c>
    </row>
    <row r="184" spans="1:22" x14ac:dyDescent="0.25">
      <c r="A184">
        <v>176</v>
      </c>
      <c r="B184" t="str">
        <f>CONCATENATE(N184,"_",O184)</f>
        <v>268041_6 months</v>
      </c>
      <c r="C184" t="s">
        <v>128</v>
      </c>
      <c r="D184">
        <v>10000</v>
      </c>
      <c r="E184">
        <v>0.3175</v>
      </c>
      <c r="F184">
        <v>8.2699999999999996E-2</v>
      </c>
      <c r="G184">
        <v>6.8000000000000005E-2</v>
      </c>
      <c r="H184">
        <v>6.7400000000000002E-2</v>
      </c>
      <c r="I184">
        <v>0.34989999999999999</v>
      </c>
      <c r="J184">
        <v>9.3100000000000002E-2</v>
      </c>
      <c r="K184">
        <v>0</v>
      </c>
      <c r="L184">
        <v>2.1399999999999999E-2</v>
      </c>
      <c r="M184" t="s">
        <v>17</v>
      </c>
      <c r="N184">
        <v>268041</v>
      </c>
      <c r="O184" t="s">
        <v>217</v>
      </c>
      <c r="P184" t="s">
        <v>206</v>
      </c>
      <c r="Q184" t="s">
        <v>128</v>
      </c>
      <c r="R184">
        <v>268041</v>
      </c>
      <c r="S184">
        <v>14</v>
      </c>
      <c r="T184" t="s">
        <v>206</v>
      </c>
      <c r="U184">
        <v>23.457905544147799</v>
      </c>
      <c r="V184">
        <v>0</v>
      </c>
    </row>
    <row r="185" spans="1:22" x14ac:dyDescent="0.25">
      <c r="A185">
        <v>130</v>
      </c>
      <c r="B185" t="str">
        <f>CONCATENATE(N185,"_",O185)</f>
        <v>798801_18 months</v>
      </c>
      <c r="C185" t="s">
        <v>199</v>
      </c>
      <c r="D185">
        <v>9906</v>
      </c>
      <c r="E185">
        <v>0.27029999999999998</v>
      </c>
      <c r="F185">
        <v>7.7399999999999997E-2</v>
      </c>
      <c r="G185">
        <v>0.1333</v>
      </c>
      <c r="H185">
        <v>0.1812</v>
      </c>
      <c r="I185">
        <v>0.27850000000000003</v>
      </c>
      <c r="J185">
        <v>3.95E-2</v>
      </c>
      <c r="K185">
        <v>0</v>
      </c>
      <c r="L185">
        <v>1.9800000000000002E-2</v>
      </c>
      <c r="M185" t="s">
        <v>17</v>
      </c>
      <c r="N185">
        <v>798801</v>
      </c>
      <c r="O185" t="s">
        <v>32</v>
      </c>
      <c r="P185" t="s">
        <v>234</v>
      </c>
      <c r="Q185" t="s">
        <v>199</v>
      </c>
      <c r="R185">
        <v>798801</v>
      </c>
      <c r="S185">
        <v>34</v>
      </c>
      <c r="T185" t="s">
        <v>234</v>
      </c>
      <c r="U185">
        <v>29.864476386037001</v>
      </c>
      <c r="V185">
        <v>1</v>
      </c>
    </row>
    <row r="186" spans="1:22" x14ac:dyDescent="0.25">
      <c r="A186">
        <v>14</v>
      </c>
      <c r="B186" t="str">
        <f>CONCATENATE(N186,"_",O186)</f>
        <v>983719_6 months</v>
      </c>
      <c r="C186" t="s">
        <v>130</v>
      </c>
      <c r="D186">
        <v>10000</v>
      </c>
      <c r="E186">
        <v>0.3851</v>
      </c>
      <c r="F186">
        <v>0.1067</v>
      </c>
      <c r="G186">
        <v>8.0600000000000005E-2</v>
      </c>
      <c r="H186">
        <v>0.1011</v>
      </c>
      <c r="I186">
        <v>0.2555</v>
      </c>
      <c r="J186">
        <v>6.0600000000000001E-2</v>
      </c>
      <c r="K186">
        <v>0</v>
      </c>
      <c r="L186">
        <v>1.04E-2</v>
      </c>
      <c r="M186" t="s">
        <v>17</v>
      </c>
      <c r="N186">
        <v>983719</v>
      </c>
      <c r="O186" t="s">
        <v>217</v>
      </c>
      <c r="P186" t="s">
        <v>234</v>
      </c>
      <c r="Q186" t="s">
        <v>130</v>
      </c>
      <c r="R186">
        <v>983719</v>
      </c>
      <c r="S186">
        <v>32</v>
      </c>
      <c r="T186" t="s">
        <v>234</v>
      </c>
      <c r="U186">
        <v>24.4435318275154</v>
      </c>
      <c r="V186">
        <v>1</v>
      </c>
    </row>
    <row r="187" spans="1:22" x14ac:dyDescent="0.25">
      <c r="A187">
        <v>29</v>
      </c>
      <c r="B187" t="str">
        <f>CONCATENATE(N187,"_",O187)</f>
        <v>369952_Baseline</v>
      </c>
      <c r="C187" t="s">
        <v>145</v>
      </c>
      <c r="D187">
        <v>10000</v>
      </c>
      <c r="E187">
        <v>0.47249999999999998</v>
      </c>
      <c r="F187">
        <v>5.8599999999999999E-2</v>
      </c>
      <c r="G187">
        <v>2.4299999999999999E-2</v>
      </c>
      <c r="H187">
        <v>3.2199999999999999E-2</v>
      </c>
      <c r="I187">
        <v>0.40239999999999998</v>
      </c>
      <c r="J187">
        <v>0.01</v>
      </c>
      <c r="K187">
        <v>0</v>
      </c>
      <c r="L187">
        <v>0</v>
      </c>
      <c r="M187" t="s">
        <v>17</v>
      </c>
      <c r="N187">
        <v>369952</v>
      </c>
      <c r="O187" t="s">
        <v>100</v>
      </c>
      <c r="P187" t="s">
        <v>206</v>
      </c>
      <c r="Q187" t="s">
        <v>145</v>
      </c>
      <c r="R187">
        <v>369952</v>
      </c>
      <c r="S187">
        <v>12</v>
      </c>
      <c r="T187" t="s">
        <v>206</v>
      </c>
      <c r="U187">
        <v>35.975359342915802</v>
      </c>
      <c r="V187">
        <v>0</v>
      </c>
    </row>
    <row r="188" spans="1:22" x14ac:dyDescent="0.25">
      <c r="A188">
        <v>76</v>
      </c>
      <c r="B188" t="str">
        <f>CONCATENATE(N188,"_",O188)</f>
        <v>211730_3 months</v>
      </c>
      <c r="C188" t="s">
        <v>149</v>
      </c>
      <c r="D188">
        <v>10000</v>
      </c>
      <c r="E188">
        <v>0.505</v>
      </c>
      <c r="F188">
        <v>9.2799999999999994E-2</v>
      </c>
      <c r="G188">
        <v>0.1065</v>
      </c>
      <c r="H188">
        <v>9.5399999999999999E-2</v>
      </c>
      <c r="I188">
        <v>0.20030000000000001</v>
      </c>
      <c r="J188">
        <v>0</v>
      </c>
      <c r="K188">
        <v>0</v>
      </c>
      <c r="L188">
        <v>0</v>
      </c>
      <c r="M188" t="s">
        <v>17</v>
      </c>
      <c r="N188">
        <v>211730</v>
      </c>
      <c r="O188" t="s">
        <v>115</v>
      </c>
      <c r="P188" t="s">
        <v>206</v>
      </c>
      <c r="Q188" t="s">
        <v>149</v>
      </c>
      <c r="R188">
        <v>211730</v>
      </c>
      <c r="S188">
        <v>12</v>
      </c>
      <c r="T188" t="s">
        <v>206</v>
      </c>
      <c r="U188">
        <v>30.0287474332649</v>
      </c>
      <c r="V188">
        <v>1</v>
      </c>
    </row>
    <row r="189" spans="1:22" x14ac:dyDescent="0.25">
      <c r="A189">
        <v>80</v>
      </c>
      <c r="B189" t="str">
        <f>CONCATENATE(N189,"_",O189)</f>
        <v>211730_6 months</v>
      </c>
      <c r="C189" t="s">
        <v>121</v>
      </c>
      <c r="D189">
        <v>9907</v>
      </c>
      <c r="E189">
        <v>0.55889999999999995</v>
      </c>
      <c r="F189">
        <v>7.5600000000000001E-2</v>
      </c>
      <c r="G189">
        <v>8.8499999999999995E-2</v>
      </c>
      <c r="H189">
        <v>6.9599999999999995E-2</v>
      </c>
      <c r="I189">
        <v>0.1721</v>
      </c>
      <c r="J189">
        <v>0</v>
      </c>
      <c r="K189">
        <v>3.5200000000000002E-2</v>
      </c>
      <c r="L189">
        <v>0</v>
      </c>
      <c r="M189" t="s">
        <v>17</v>
      </c>
      <c r="N189">
        <v>211730</v>
      </c>
      <c r="O189" t="s">
        <v>217</v>
      </c>
      <c r="P189" t="s">
        <v>206</v>
      </c>
      <c r="Q189" t="s">
        <v>121</v>
      </c>
      <c r="R189">
        <v>211730</v>
      </c>
      <c r="S189">
        <v>12</v>
      </c>
      <c r="T189" t="s">
        <v>206</v>
      </c>
      <c r="U189">
        <v>30.0287474332649</v>
      </c>
      <c r="V189">
        <v>1</v>
      </c>
    </row>
    <row r="190" spans="1:22" x14ac:dyDescent="0.25">
      <c r="A190">
        <v>8</v>
      </c>
      <c r="B190" t="str">
        <f>CONCATENATE(N190,"_",O190)</f>
        <v>983719_3 months</v>
      </c>
      <c r="C190" t="s">
        <v>192</v>
      </c>
      <c r="D190">
        <v>10000</v>
      </c>
      <c r="E190">
        <v>0.31369999999999998</v>
      </c>
      <c r="F190">
        <v>0.1221</v>
      </c>
      <c r="G190">
        <v>6.7699999999999996E-2</v>
      </c>
      <c r="H190">
        <v>9.2299999999999993E-2</v>
      </c>
      <c r="I190">
        <v>0.3271</v>
      </c>
      <c r="J190">
        <v>7.7100000000000002E-2</v>
      </c>
      <c r="K190">
        <v>0</v>
      </c>
      <c r="L190">
        <v>0</v>
      </c>
      <c r="M190" t="s">
        <v>17</v>
      </c>
      <c r="N190">
        <v>983719</v>
      </c>
      <c r="O190" t="s">
        <v>115</v>
      </c>
      <c r="P190" t="s">
        <v>234</v>
      </c>
      <c r="Q190" t="s">
        <v>192</v>
      </c>
      <c r="R190">
        <v>983719</v>
      </c>
      <c r="S190">
        <v>32</v>
      </c>
      <c r="T190" t="s">
        <v>234</v>
      </c>
      <c r="U190">
        <v>24.4435318275154</v>
      </c>
      <c r="V190">
        <v>1</v>
      </c>
    </row>
    <row r="191" spans="1:22" x14ac:dyDescent="0.25">
      <c r="A191">
        <v>2</v>
      </c>
      <c r="B191" t="str">
        <f>CONCATENATE(N191,"_",O191)</f>
        <v>716379_Baseline</v>
      </c>
      <c r="C191" t="s">
        <v>2</v>
      </c>
      <c r="D191">
        <v>10000</v>
      </c>
      <c r="E191">
        <v>0.41589999999999999</v>
      </c>
      <c r="F191">
        <v>9.3600000000000003E-2</v>
      </c>
      <c r="G191">
        <v>0.1172</v>
      </c>
      <c r="H191">
        <v>6.1800000000000001E-2</v>
      </c>
      <c r="I191">
        <v>0.3115</v>
      </c>
      <c r="J191">
        <v>0</v>
      </c>
      <c r="K191">
        <v>0</v>
      </c>
      <c r="L191">
        <v>0</v>
      </c>
      <c r="M191" t="s">
        <v>233</v>
      </c>
      <c r="N191">
        <v>716379</v>
      </c>
      <c r="O191" t="s">
        <v>100</v>
      </c>
      <c r="P191" t="s">
        <v>206</v>
      </c>
      <c r="Q191" t="s">
        <v>2</v>
      </c>
      <c r="R191">
        <v>716379</v>
      </c>
      <c r="S191">
        <v>19</v>
      </c>
      <c r="T191" t="s">
        <v>206</v>
      </c>
      <c r="U191">
        <v>42.447638603696099</v>
      </c>
      <c r="V191">
        <v>1</v>
      </c>
    </row>
    <row r="192" spans="1:22" x14ac:dyDescent="0.25">
      <c r="A192">
        <v>18</v>
      </c>
      <c r="B192" t="str">
        <f>CONCATENATE(N192,"_",O192)</f>
        <v>232794_Baseline</v>
      </c>
      <c r="C192" t="s">
        <v>18</v>
      </c>
      <c r="D192">
        <v>10000</v>
      </c>
      <c r="E192">
        <v>0.40179999999999999</v>
      </c>
      <c r="F192">
        <v>4.9700000000000001E-2</v>
      </c>
      <c r="G192">
        <v>0.1288</v>
      </c>
      <c r="H192">
        <v>7.1499999999999994E-2</v>
      </c>
      <c r="I192">
        <v>0.34820000000000001</v>
      </c>
      <c r="J192">
        <v>0</v>
      </c>
      <c r="K192">
        <v>0</v>
      </c>
      <c r="L192">
        <v>0</v>
      </c>
      <c r="M192" t="s">
        <v>17</v>
      </c>
      <c r="N192">
        <v>232794</v>
      </c>
      <c r="O192" t="s">
        <v>100</v>
      </c>
      <c r="P192" t="s">
        <v>206</v>
      </c>
      <c r="Q192" t="s">
        <v>18</v>
      </c>
      <c r="R192">
        <v>232794</v>
      </c>
      <c r="S192">
        <v>14</v>
      </c>
      <c r="T192" t="s">
        <v>206</v>
      </c>
      <c r="U192">
        <v>60.254620123203303</v>
      </c>
      <c r="V192">
        <v>1</v>
      </c>
    </row>
    <row r="193" spans="1:22" x14ac:dyDescent="0.25">
      <c r="A193">
        <v>1</v>
      </c>
      <c r="B193" t="str">
        <f>CONCATENATE(N193,"_",O193)</f>
        <v>341455_Baseline</v>
      </c>
      <c r="C193" t="s">
        <v>59</v>
      </c>
      <c r="D193">
        <v>10000</v>
      </c>
      <c r="E193">
        <v>0.39450000000000002</v>
      </c>
      <c r="F193">
        <v>0.1178</v>
      </c>
      <c r="G193">
        <v>6.83E-2</v>
      </c>
      <c r="H193">
        <v>3.8300000000000001E-2</v>
      </c>
      <c r="I193">
        <v>0.2974</v>
      </c>
      <c r="J193">
        <v>8.3699999999999997E-2</v>
      </c>
      <c r="K193">
        <v>0</v>
      </c>
      <c r="L193">
        <v>0</v>
      </c>
      <c r="M193" t="s">
        <v>17</v>
      </c>
      <c r="N193">
        <v>341455</v>
      </c>
      <c r="O193" t="s">
        <v>100</v>
      </c>
      <c r="P193" t="s">
        <v>206</v>
      </c>
      <c r="Q193" t="s">
        <v>59</v>
      </c>
      <c r="R193">
        <v>341455</v>
      </c>
      <c r="S193">
        <v>19</v>
      </c>
      <c r="T193" t="s">
        <v>206</v>
      </c>
      <c r="U193">
        <v>88.147843942505105</v>
      </c>
      <c r="V193">
        <v>0</v>
      </c>
    </row>
    <row r="194" spans="1:22" x14ac:dyDescent="0.25">
      <c r="A194">
        <v>44</v>
      </c>
      <c r="B194" t="str">
        <f>CONCATENATE(N194,"_",O194)</f>
        <v>983719_18 months</v>
      </c>
      <c r="C194" t="s">
        <v>10</v>
      </c>
      <c r="D194">
        <v>10000</v>
      </c>
      <c r="E194">
        <v>0.3715</v>
      </c>
      <c r="F194">
        <v>0.1542</v>
      </c>
      <c r="G194">
        <v>8.2900000000000001E-2</v>
      </c>
      <c r="H194">
        <v>9.35E-2</v>
      </c>
      <c r="I194">
        <v>0.2203</v>
      </c>
      <c r="J194">
        <v>7.7600000000000002E-2</v>
      </c>
      <c r="K194">
        <v>0</v>
      </c>
      <c r="L194">
        <v>0</v>
      </c>
      <c r="M194" t="s">
        <v>17</v>
      </c>
      <c r="N194">
        <v>983719</v>
      </c>
      <c r="O194" t="s">
        <v>32</v>
      </c>
      <c r="P194" t="s">
        <v>234</v>
      </c>
      <c r="Q194" t="s">
        <v>10</v>
      </c>
      <c r="R194">
        <v>983719</v>
      </c>
      <c r="S194">
        <v>32</v>
      </c>
      <c r="T194" t="s">
        <v>234</v>
      </c>
      <c r="U194">
        <v>24.4435318275154</v>
      </c>
      <c r="V194">
        <v>1</v>
      </c>
    </row>
    <row r="195" spans="1:22" x14ac:dyDescent="0.25">
      <c r="A195">
        <v>10</v>
      </c>
      <c r="B195" t="str">
        <f>CONCATENATE(N195,"_",O195)</f>
        <v>716379_6 months</v>
      </c>
      <c r="C195" t="s">
        <v>102</v>
      </c>
      <c r="D195">
        <v>10000</v>
      </c>
      <c r="E195">
        <v>0.39379999999999998</v>
      </c>
      <c r="F195">
        <v>6.6299999999999998E-2</v>
      </c>
      <c r="G195">
        <v>8.1900000000000001E-2</v>
      </c>
      <c r="H195">
        <v>6.2899999999999998E-2</v>
      </c>
      <c r="I195">
        <v>0.33110000000000001</v>
      </c>
      <c r="J195">
        <v>6.4000000000000001E-2</v>
      </c>
      <c r="K195">
        <v>0</v>
      </c>
      <c r="L195">
        <v>0</v>
      </c>
      <c r="M195" t="s">
        <v>233</v>
      </c>
      <c r="N195">
        <v>716379</v>
      </c>
      <c r="O195" t="s">
        <v>217</v>
      </c>
      <c r="P195" t="s">
        <v>206</v>
      </c>
      <c r="Q195" t="s">
        <v>102</v>
      </c>
      <c r="R195">
        <v>716379</v>
      </c>
      <c r="S195">
        <v>19</v>
      </c>
      <c r="T195" t="s">
        <v>206</v>
      </c>
      <c r="U195">
        <v>42.447638603696099</v>
      </c>
      <c r="V195">
        <v>1</v>
      </c>
    </row>
    <row r="196" spans="1:22" x14ac:dyDescent="0.25">
      <c r="A196">
        <v>64</v>
      </c>
      <c r="B196" t="str">
        <f>CONCATENATE(N196,"_",O196)</f>
        <v>649805_6 months</v>
      </c>
      <c r="C196" t="s">
        <v>167</v>
      </c>
      <c r="D196">
        <v>9906</v>
      </c>
      <c r="E196">
        <v>0.27910000000000001</v>
      </c>
      <c r="F196">
        <v>0.17480000000000001</v>
      </c>
      <c r="G196">
        <v>0.1525</v>
      </c>
      <c r="H196">
        <v>0.1222</v>
      </c>
      <c r="I196">
        <v>0.22650000000000001</v>
      </c>
      <c r="J196">
        <v>4.4699999999999997E-2</v>
      </c>
      <c r="K196">
        <v>0</v>
      </c>
      <c r="L196">
        <v>0</v>
      </c>
      <c r="M196" t="s">
        <v>17</v>
      </c>
      <c r="N196">
        <v>649805</v>
      </c>
      <c r="O196" t="s">
        <v>217</v>
      </c>
      <c r="P196" t="s">
        <v>234</v>
      </c>
      <c r="Q196" t="s">
        <v>167</v>
      </c>
      <c r="R196">
        <v>649805</v>
      </c>
      <c r="S196">
        <v>45</v>
      </c>
      <c r="T196" t="s">
        <v>234</v>
      </c>
      <c r="U196">
        <v>30.094455852156099</v>
      </c>
      <c r="V196">
        <v>1</v>
      </c>
    </row>
    <row r="197" spans="1:22" x14ac:dyDescent="0.25">
      <c r="A197">
        <v>179</v>
      </c>
      <c r="B197" t="str">
        <f>CONCATENATE(N197,"_",O197)</f>
        <v>787396_6 months</v>
      </c>
      <c r="C197" t="s">
        <v>204</v>
      </c>
      <c r="D197">
        <v>10000</v>
      </c>
      <c r="E197">
        <v>0.37819999999999998</v>
      </c>
      <c r="F197">
        <v>3.6499999999999998E-2</v>
      </c>
      <c r="G197">
        <v>0.2414</v>
      </c>
      <c r="H197">
        <v>0.14230000000000001</v>
      </c>
      <c r="I197">
        <v>0.2016</v>
      </c>
      <c r="J197">
        <v>0</v>
      </c>
      <c r="K197">
        <v>0</v>
      </c>
      <c r="L197">
        <v>0</v>
      </c>
      <c r="M197" t="s">
        <v>17</v>
      </c>
      <c r="N197">
        <v>787396</v>
      </c>
      <c r="O197" t="s">
        <v>217</v>
      </c>
      <c r="P197" t="s">
        <v>206</v>
      </c>
      <c r="Q197" t="s">
        <v>204</v>
      </c>
      <c r="R197">
        <v>787396</v>
      </c>
      <c r="S197">
        <v>16</v>
      </c>
      <c r="T197" t="s">
        <v>206</v>
      </c>
      <c r="U197">
        <v>22.8993839835729</v>
      </c>
      <c r="V197">
        <v>0</v>
      </c>
    </row>
    <row r="198" spans="1:22" x14ac:dyDescent="0.25">
      <c r="A198">
        <v>79</v>
      </c>
      <c r="B198" t="str">
        <f>CONCATENATE(N198,"_",O198)</f>
        <v>232794_18 months</v>
      </c>
      <c r="C198" t="s">
        <v>80</v>
      </c>
      <c r="D198">
        <v>9911</v>
      </c>
      <c r="E198">
        <v>0.37280000000000002</v>
      </c>
      <c r="F198">
        <v>4.6699999999999998E-2</v>
      </c>
      <c r="G198">
        <v>0.15770000000000001</v>
      </c>
      <c r="H198">
        <v>6.9199999999999998E-2</v>
      </c>
      <c r="I198">
        <v>0.35349999999999998</v>
      </c>
      <c r="J198">
        <v>0</v>
      </c>
      <c r="K198">
        <v>0</v>
      </c>
      <c r="L198">
        <v>0</v>
      </c>
      <c r="M198" t="s">
        <v>17</v>
      </c>
      <c r="N198">
        <v>232794</v>
      </c>
      <c r="O198" t="s">
        <v>32</v>
      </c>
      <c r="P198" t="s">
        <v>206</v>
      </c>
      <c r="Q198" t="s">
        <v>80</v>
      </c>
      <c r="R198">
        <v>232794</v>
      </c>
      <c r="S198">
        <v>14</v>
      </c>
      <c r="T198" t="s">
        <v>206</v>
      </c>
      <c r="U198">
        <v>60.254620123203303</v>
      </c>
      <c r="V198">
        <v>1</v>
      </c>
    </row>
    <row r="199" spans="1:22" x14ac:dyDescent="0.25">
      <c r="A199">
        <v>87</v>
      </c>
      <c r="B199" t="str">
        <f>CONCATENATE(N199,"_",O199)</f>
        <v>798801_Baseline</v>
      </c>
      <c r="C199" t="s">
        <v>65</v>
      </c>
      <c r="D199">
        <v>10000</v>
      </c>
      <c r="E199">
        <v>0.25469999999999998</v>
      </c>
      <c r="F199">
        <v>0.17460000000000001</v>
      </c>
      <c r="G199">
        <v>0.1799</v>
      </c>
      <c r="H199">
        <v>0.19839999999999999</v>
      </c>
      <c r="I199">
        <v>0.19239999999999999</v>
      </c>
      <c r="J199">
        <v>0</v>
      </c>
      <c r="K199">
        <v>0</v>
      </c>
      <c r="L199">
        <v>0</v>
      </c>
      <c r="M199" t="s">
        <v>17</v>
      </c>
      <c r="N199">
        <v>798801</v>
      </c>
      <c r="O199" t="s">
        <v>100</v>
      </c>
      <c r="P199" t="s">
        <v>234</v>
      </c>
      <c r="Q199" t="s">
        <v>65</v>
      </c>
      <c r="R199">
        <v>798801</v>
      </c>
      <c r="S199">
        <v>34</v>
      </c>
      <c r="T199" t="s">
        <v>234</v>
      </c>
      <c r="U199">
        <v>29.864476386037001</v>
      </c>
      <c r="V199">
        <v>1</v>
      </c>
    </row>
    <row r="200" spans="1:22" x14ac:dyDescent="0.25">
      <c r="A200">
        <v>93</v>
      </c>
      <c r="B200" t="str">
        <f>CONCATENATE(N200,"_",O200)</f>
        <v>494195_Baseline</v>
      </c>
      <c r="C200" t="s">
        <v>154</v>
      </c>
      <c r="D200">
        <v>10000</v>
      </c>
      <c r="E200">
        <v>0.30630000000000002</v>
      </c>
      <c r="F200">
        <v>0.17480000000000001</v>
      </c>
      <c r="G200">
        <v>0.1082</v>
      </c>
      <c r="H200">
        <v>0.1285</v>
      </c>
      <c r="I200">
        <v>0.22520000000000001</v>
      </c>
      <c r="J200">
        <v>5.7000000000000002E-2</v>
      </c>
      <c r="K200">
        <v>0</v>
      </c>
      <c r="L200">
        <v>0</v>
      </c>
      <c r="M200" t="s">
        <v>17</v>
      </c>
      <c r="N200">
        <v>494195</v>
      </c>
      <c r="O200" t="s">
        <v>100</v>
      </c>
      <c r="P200" t="s">
        <v>234</v>
      </c>
      <c r="Q200" t="s">
        <v>154</v>
      </c>
      <c r="R200">
        <v>494195</v>
      </c>
      <c r="S200">
        <v>15</v>
      </c>
      <c r="T200" t="s">
        <v>234</v>
      </c>
      <c r="U200">
        <v>11.958932238193</v>
      </c>
      <c r="V200">
        <v>1</v>
      </c>
    </row>
    <row r="201" spans="1:22" x14ac:dyDescent="0.25">
      <c r="A201">
        <v>6</v>
      </c>
      <c r="B201" t="str">
        <f>CONCATENATE(N201,"_",O201)</f>
        <v>599693_Baseline</v>
      </c>
      <c r="C201" t="s">
        <v>76</v>
      </c>
      <c r="D201">
        <v>9917</v>
      </c>
      <c r="E201">
        <v>0.35730000000000001</v>
      </c>
      <c r="F201">
        <v>3.3399999999999999E-2</v>
      </c>
      <c r="G201">
        <v>0.25869999999999999</v>
      </c>
      <c r="H201">
        <v>7.6799999999999993E-2</v>
      </c>
      <c r="I201">
        <v>0.21759999999999999</v>
      </c>
      <c r="J201">
        <v>5.62E-2</v>
      </c>
      <c r="K201">
        <v>0</v>
      </c>
      <c r="L201">
        <v>0</v>
      </c>
      <c r="M201" t="s">
        <v>17</v>
      </c>
      <c r="N201">
        <v>599693</v>
      </c>
      <c r="O201" t="s">
        <v>100</v>
      </c>
      <c r="P201" t="s">
        <v>206</v>
      </c>
      <c r="Q201" t="s">
        <v>76</v>
      </c>
      <c r="R201">
        <v>599693</v>
      </c>
      <c r="S201">
        <v>24</v>
      </c>
      <c r="T201" t="s">
        <v>206</v>
      </c>
      <c r="U201">
        <v>42.184804928131399</v>
      </c>
      <c r="V201">
        <v>1</v>
      </c>
    </row>
    <row r="202" spans="1:22" x14ac:dyDescent="0.25">
      <c r="A202">
        <v>100</v>
      </c>
      <c r="B202" t="str">
        <f>CONCATENATE(N202,"_",O202)</f>
        <v>817894_Baseline</v>
      </c>
      <c r="C202" t="s">
        <v>91</v>
      </c>
      <c r="D202">
        <v>10000</v>
      </c>
      <c r="E202">
        <v>0.3538</v>
      </c>
      <c r="F202">
        <v>5.91E-2</v>
      </c>
      <c r="G202">
        <v>0.1174</v>
      </c>
      <c r="H202">
        <v>0.1149</v>
      </c>
      <c r="I202">
        <v>0.32629999999999998</v>
      </c>
      <c r="J202">
        <v>2.8500000000000001E-2</v>
      </c>
      <c r="K202">
        <v>0</v>
      </c>
      <c r="L202">
        <v>0</v>
      </c>
      <c r="M202" t="s">
        <v>233</v>
      </c>
      <c r="N202">
        <v>817894</v>
      </c>
      <c r="O202" t="s">
        <v>100</v>
      </c>
      <c r="P202" t="s">
        <v>234</v>
      </c>
      <c r="Q202" t="s">
        <v>91</v>
      </c>
      <c r="R202">
        <v>817894</v>
      </c>
      <c r="S202">
        <v>11</v>
      </c>
      <c r="T202" t="s">
        <v>234</v>
      </c>
      <c r="U202">
        <v>48</v>
      </c>
      <c r="V202">
        <v>0</v>
      </c>
    </row>
    <row r="203" spans="1:22" x14ac:dyDescent="0.25">
      <c r="A203">
        <v>102</v>
      </c>
      <c r="B203" t="str">
        <f>CONCATENATE(N203,"_",O203)</f>
        <v>798801_6 months</v>
      </c>
      <c r="C203" t="s">
        <v>155</v>
      </c>
      <c r="D203">
        <v>10000</v>
      </c>
      <c r="E203">
        <v>0.28029999999999999</v>
      </c>
      <c r="F203">
        <v>8.3000000000000004E-2</v>
      </c>
      <c r="G203">
        <v>0.1464</v>
      </c>
      <c r="H203">
        <v>0.1704</v>
      </c>
      <c r="I203">
        <v>0.28749999999999998</v>
      </c>
      <c r="J203">
        <v>3.2399999999999998E-2</v>
      </c>
      <c r="K203">
        <v>0</v>
      </c>
      <c r="L203">
        <v>0</v>
      </c>
      <c r="M203" t="s">
        <v>233</v>
      </c>
      <c r="N203">
        <v>798801</v>
      </c>
      <c r="O203" t="s">
        <v>217</v>
      </c>
      <c r="P203" t="s">
        <v>234</v>
      </c>
      <c r="Q203" t="s">
        <v>155</v>
      </c>
      <c r="R203">
        <v>798801</v>
      </c>
      <c r="S203">
        <v>34</v>
      </c>
      <c r="T203" t="s">
        <v>234</v>
      </c>
      <c r="U203">
        <v>29.864476386037001</v>
      </c>
      <c r="V203">
        <v>1</v>
      </c>
    </row>
    <row r="204" spans="1:22" x14ac:dyDescent="0.25">
      <c r="A204">
        <v>115</v>
      </c>
      <c r="B204" t="str">
        <f>CONCATENATE(N204,"_",O204)</f>
        <v>817894_6 months</v>
      </c>
      <c r="C204" t="s">
        <v>211</v>
      </c>
      <c r="D204">
        <v>4079</v>
      </c>
      <c r="E204">
        <v>0.41749999999999998</v>
      </c>
      <c r="F204">
        <v>4.07E-2</v>
      </c>
      <c r="G204">
        <v>4.5400000000000003E-2</v>
      </c>
      <c r="H204">
        <v>0.1047</v>
      </c>
      <c r="I204">
        <v>0.39179999999999998</v>
      </c>
      <c r="J204">
        <v>0</v>
      </c>
      <c r="K204">
        <v>0</v>
      </c>
      <c r="L204">
        <v>0</v>
      </c>
      <c r="M204" t="s">
        <v>233</v>
      </c>
      <c r="N204">
        <v>817894</v>
      </c>
      <c r="O204" t="s">
        <v>217</v>
      </c>
      <c r="P204" t="s">
        <v>234</v>
      </c>
      <c r="Q204" t="s">
        <v>211</v>
      </c>
      <c r="R204">
        <v>817894</v>
      </c>
      <c r="S204">
        <v>11</v>
      </c>
      <c r="T204" t="s">
        <v>234</v>
      </c>
      <c r="U204">
        <v>48</v>
      </c>
      <c r="V204">
        <v>0</v>
      </c>
    </row>
    <row r="205" spans="1:22" x14ac:dyDescent="0.25">
      <c r="A205">
        <v>116</v>
      </c>
      <c r="B205" t="str">
        <f>CONCATENATE(N205,"_",O205)</f>
        <v>211730_18 months</v>
      </c>
      <c r="C205" t="s">
        <v>171</v>
      </c>
      <c r="D205">
        <v>10000</v>
      </c>
      <c r="E205">
        <v>0.45779999999999998</v>
      </c>
      <c r="F205">
        <v>9.8199999999999996E-2</v>
      </c>
      <c r="G205">
        <v>0.127</v>
      </c>
      <c r="H205">
        <v>7.3700000000000002E-2</v>
      </c>
      <c r="I205">
        <v>0.24329999999999999</v>
      </c>
      <c r="J205">
        <v>0</v>
      </c>
      <c r="K205">
        <v>0</v>
      </c>
      <c r="L205">
        <v>0</v>
      </c>
      <c r="M205" t="s">
        <v>17</v>
      </c>
      <c r="N205">
        <v>211730</v>
      </c>
      <c r="O205" t="s">
        <v>32</v>
      </c>
      <c r="P205" t="s">
        <v>206</v>
      </c>
      <c r="Q205" t="s">
        <v>171</v>
      </c>
      <c r="R205">
        <v>211730</v>
      </c>
      <c r="S205">
        <v>12</v>
      </c>
      <c r="T205" t="s">
        <v>206</v>
      </c>
      <c r="U205">
        <v>30.0287474332649</v>
      </c>
      <c r="V205">
        <v>1</v>
      </c>
    </row>
    <row r="206" spans="1:22" x14ac:dyDescent="0.25">
      <c r="A206">
        <v>198</v>
      </c>
      <c r="B206" t="str">
        <f>CONCATENATE(N206,"_",O206)</f>
        <v>666617_3 months</v>
      </c>
      <c r="C206" t="s">
        <v>205</v>
      </c>
      <c r="D206">
        <v>10000</v>
      </c>
      <c r="E206">
        <v>0.32</v>
      </c>
      <c r="F206">
        <v>5.4300000000000001E-2</v>
      </c>
      <c r="G206">
        <v>0.1173</v>
      </c>
      <c r="H206">
        <v>0.11940000000000001</v>
      </c>
      <c r="I206">
        <v>0.37230000000000002</v>
      </c>
      <c r="J206">
        <v>1.67E-2</v>
      </c>
      <c r="K206">
        <v>0</v>
      </c>
      <c r="L206">
        <v>0</v>
      </c>
      <c r="M206" t="s">
        <v>17</v>
      </c>
      <c r="N206">
        <v>666617</v>
      </c>
      <c r="O206" t="s">
        <v>115</v>
      </c>
      <c r="P206" t="s">
        <v>206</v>
      </c>
      <c r="Q206" t="s">
        <v>205</v>
      </c>
      <c r="R206">
        <v>666617</v>
      </c>
      <c r="S206">
        <v>21</v>
      </c>
      <c r="T206" t="s">
        <v>206</v>
      </c>
      <c r="U206">
        <v>11.991786447638599</v>
      </c>
      <c r="V206">
        <v>1</v>
      </c>
    </row>
    <row r="207" spans="1:22" x14ac:dyDescent="0.25">
      <c r="A207">
        <v>134</v>
      </c>
      <c r="B207" t="str">
        <f>CONCATENATE(N207,"_",O207)</f>
        <v>656446_6 months</v>
      </c>
      <c r="C207" t="s">
        <v>137</v>
      </c>
      <c r="D207">
        <v>9914</v>
      </c>
      <c r="E207">
        <v>0.39460000000000001</v>
      </c>
      <c r="F207">
        <v>0</v>
      </c>
      <c r="G207">
        <v>8.09E-2</v>
      </c>
      <c r="H207">
        <v>0.1188</v>
      </c>
      <c r="I207">
        <v>0.40570000000000001</v>
      </c>
      <c r="J207">
        <v>0</v>
      </c>
      <c r="K207">
        <v>0</v>
      </c>
      <c r="L207">
        <v>0</v>
      </c>
      <c r="M207" t="s">
        <v>17</v>
      </c>
      <c r="N207">
        <v>656446</v>
      </c>
      <c r="O207" t="s">
        <v>217</v>
      </c>
      <c r="P207" t="s">
        <v>234</v>
      </c>
      <c r="Q207" t="s">
        <v>137</v>
      </c>
      <c r="R207">
        <v>656446</v>
      </c>
      <c r="S207">
        <v>9</v>
      </c>
      <c r="T207" t="s">
        <v>234</v>
      </c>
      <c r="U207">
        <v>30.127310061601602</v>
      </c>
      <c r="V207">
        <v>1</v>
      </c>
    </row>
    <row r="208" spans="1:22" x14ac:dyDescent="0.25">
      <c r="A208">
        <v>9</v>
      </c>
      <c r="B208" t="str">
        <f>CONCATENATE(N208,"_",O208)</f>
        <v>902103_Baseline</v>
      </c>
      <c r="C208" t="s">
        <v>208</v>
      </c>
      <c r="D208">
        <v>9942</v>
      </c>
      <c r="E208">
        <v>0.31709999999999999</v>
      </c>
      <c r="F208">
        <v>9.1600000000000001E-2</v>
      </c>
      <c r="G208">
        <v>0.1071</v>
      </c>
      <c r="H208">
        <v>0.14699999999999999</v>
      </c>
      <c r="I208">
        <v>0.29210000000000003</v>
      </c>
      <c r="J208">
        <v>4.5100000000000001E-2</v>
      </c>
      <c r="K208">
        <v>0</v>
      </c>
      <c r="L208">
        <v>0</v>
      </c>
      <c r="M208" t="s">
        <v>17</v>
      </c>
      <c r="N208">
        <v>902103</v>
      </c>
      <c r="O208" t="s">
        <v>100</v>
      </c>
      <c r="P208" t="s">
        <v>206</v>
      </c>
      <c r="Q208" t="s">
        <v>208</v>
      </c>
      <c r="R208">
        <v>902103</v>
      </c>
      <c r="S208">
        <v>23</v>
      </c>
      <c r="T208" t="s">
        <v>206</v>
      </c>
      <c r="U208">
        <v>78.817248459958904</v>
      </c>
      <c r="V208">
        <v>0</v>
      </c>
    </row>
    <row r="209" spans="1:22" x14ac:dyDescent="0.25">
      <c r="A209">
        <v>157</v>
      </c>
      <c r="B209" t="str">
        <f>CONCATENATE(N209,"_",O209)</f>
        <v>787396_Baseline</v>
      </c>
      <c r="C209" t="s">
        <v>109</v>
      </c>
      <c r="D209">
        <v>10000</v>
      </c>
      <c r="E209">
        <v>0.29809999999999998</v>
      </c>
      <c r="F209">
        <v>5.6099999999999997E-2</v>
      </c>
      <c r="G209">
        <v>0.20430000000000001</v>
      </c>
      <c r="H209">
        <v>7.6200000000000004E-2</v>
      </c>
      <c r="I209">
        <v>0.35410000000000003</v>
      </c>
      <c r="J209">
        <v>1.12E-2</v>
      </c>
      <c r="K209">
        <v>0</v>
      </c>
      <c r="L209">
        <v>0</v>
      </c>
      <c r="M209" t="s">
        <v>17</v>
      </c>
      <c r="N209">
        <v>787396</v>
      </c>
      <c r="O209" t="s">
        <v>100</v>
      </c>
      <c r="P209" t="s">
        <v>206</v>
      </c>
      <c r="Q209" t="s">
        <v>109</v>
      </c>
      <c r="R209">
        <v>787396</v>
      </c>
      <c r="S209">
        <v>16</v>
      </c>
      <c r="T209" t="s">
        <v>206</v>
      </c>
      <c r="U209">
        <v>22.8993839835729</v>
      </c>
      <c r="V209">
        <v>0</v>
      </c>
    </row>
    <row r="211" spans="1:22" x14ac:dyDescent="0.25">
      <c r="C211" t="s">
        <v>236</v>
      </c>
      <c r="E211" s="1">
        <f>AVERAGE(E2:E209)*100</f>
        <v>33.223701923076938</v>
      </c>
      <c r="F211" s="1">
        <f t="shared" ref="F211:L211" si="0">AVERAGE(F2:F209)*100</f>
        <v>8.6053365384615415</v>
      </c>
      <c r="G211" s="1">
        <f t="shared" si="0"/>
        <v>8.8037980769230799</v>
      </c>
      <c r="H211" s="1">
        <f t="shared" si="0"/>
        <v>8.9740865384615383</v>
      </c>
      <c r="I211" s="1">
        <f t="shared" si="0"/>
        <v>26.386250000000004</v>
      </c>
      <c r="J211" s="1">
        <f t="shared" si="0"/>
        <v>3.5926442307692312</v>
      </c>
      <c r="K211" s="1">
        <f t="shared" si="0"/>
        <v>0.31312499999999993</v>
      </c>
      <c r="L211" s="1">
        <f t="shared" si="0"/>
        <v>10.100817307692314</v>
      </c>
    </row>
  </sheetData>
  <autoFilter ref="A1:V209" xr:uid="{00000000-0001-0000-0000-000000000000}">
    <sortState xmlns:xlrd2="http://schemas.microsoft.com/office/spreadsheetml/2017/richdata2" ref="A14:V209">
      <sortCondition descending="1" ref="L1:L209"/>
    </sortState>
  </autoFilter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Centore</cp:lastModifiedBy>
  <dcterms:modified xsi:type="dcterms:W3CDTF">2025-06-25T22:40:15Z</dcterms:modified>
</cp:coreProperties>
</file>